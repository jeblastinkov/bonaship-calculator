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naship Model" sheetId="1" state="visible" r:id="rId1"/>
    <sheet xmlns:r="http://schemas.openxmlformats.org/officeDocument/2006/relationships" name="Porovnanie s úvermi" sheetId="2" state="visible" r:id="rId2"/>
    <sheet xmlns:r="http://schemas.openxmlformats.org/officeDocument/2006/relationships" name="Výhody Bonaship" sheetId="3" state="visible" r:id="rId3"/>
    <sheet xmlns:r="http://schemas.openxmlformats.org/officeDocument/2006/relationships" name="Podmienky Bonaship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&quot; €&quot;"/>
    <numFmt numFmtId="165" formatCode="0.0%"/>
    <numFmt numFmtId="166" formatCode="0.00\x"/>
    <numFmt numFmtId="167" formatCode="#,##0.00&quot; €&quot;"/>
    <numFmt numFmtId="168" formatCode="#,##0 €"/>
    <numFmt numFmtId="169" formatCode="#,##0.00 €"/>
    <numFmt numFmtId="170" formatCode="+#,##0 €;-#,##0 €"/>
  </numFmts>
  <fonts count="3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A0A0A"/>
      <sz val="14"/>
    </font>
    <font>
      <name val="Arial"/>
      <charset val="1"/>
      <family val="0"/>
      <i val="1"/>
      <color rgb="FF0000FF"/>
      <sz val="10"/>
    </font>
    <font>
      <name val="Arial"/>
      <charset val="1"/>
      <family val="0"/>
      <b val="1"/>
      <color rgb="FF0A0A0A"/>
      <sz val="12"/>
    </font>
    <font>
      <name val="Arial"/>
      <charset val="1"/>
      <family val="0"/>
      <sz val="11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888888"/>
      <sz val="10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1"/>
    </font>
    <font>
      <name val="Arial"/>
      <charset val="1"/>
      <family val="0"/>
      <i val="1"/>
      <color rgb="FF008000"/>
      <sz val="9"/>
    </font>
    <font>
      <name val="Arial"/>
      <charset val="1"/>
      <family val="0"/>
      <color rgb="FF008000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FF0000"/>
      <sz val="10"/>
    </font>
    <font>
      <name val="Arial"/>
      <charset val="1"/>
      <family val="0"/>
      <color rgb="FFFF0000"/>
      <sz val="11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6400"/>
      <sz val="11"/>
    </font>
    <font>
      <name val="Arial"/>
      <charset val="1"/>
      <family val="0"/>
      <color rgb="FF555555"/>
      <sz val="10"/>
    </font>
    <font>
      <name val="Calibri"/>
      <b val="1"/>
      <color rgb="00C8FF00"/>
      <sz val="11"/>
    </font>
    <font>
      <name val="Calibri"/>
      <color rgb="000A0A0A"/>
      <sz val="10"/>
    </font>
    <font>
      <name val="Calibri"/>
      <i val="1"/>
      <color rgb="00777777"/>
      <sz val="9"/>
    </font>
    <font>
      <name val="Calibri"/>
      <b val="1"/>
      <color rgb="000A0A0A"/>
      <sz val="10"/>
    </font>
    <font>
      <name val="Calibri"/>
      <b val="1"/>
      <color rgb="00C8FF00"/>
      <sz val="14"/>
    </font>
    <font>
      <name val="Calibri"/>
      <color rgb="00555555"/>
      <sz val="9"/>
    </font>
    <font>
      <name val="Calibri"/>
      <b val="1"/>
      <color rgb="00FFFFFF"/>
      <sz val="9"/>
    </font>
    <font>
      <name val="Calibri"/>
      <i val="1"/>
      <color rgb="00888888"/>
      <sz val="8"/>
    </font>
    <font>
      <name val="Calibri"/>
      <color rgb="000A0A0A"/>
      <sz val="9"/>
    </font>
    <font>
      <name val="Calibri"/>
      <i val="1"/>
      <color rgb="00444444"/>
      <sz val="9"/>
    </font>
    <font>
      <name val="Calibri"/>
      <b val="1"/>
      <color rgb="000A0A0A"/>
      <sz val="11"/>
    </font>
    <font>
      <name val="Calibri"/>
      <i val="1"/>
      <color rgb="00333333"/>
      <sz val="9"/>
    </font>
    <font>
      <name val="Calibri"/>
      <color rgb="00333333"/>
      <sz val="9"/>
    </font>
    <font>
      <name val="Calibri"/>
      <b val="1"/>
      <color rgb="000A0A0A"/>
      <sz val="9"/>
    </font>
  </fonts>
  <fills count="16">
    <fill>
      <patternFill/>
    </fill>
    <fill>
      <patternFill patternType="gray125"/>
    </fill>
    <fill>
      <patternFill patternType="solid">
        <fgColor rgb="FFFFFF00"/>
        <bgColor rgb="FFC8FF00"/>
      </patternFill>
    </fill>
    <fill>
      <patternFill patternType="solid">
        <fgColor rgb="FFC8FF00"/>
        <bgColor rgb="FFFFFF00"/>
      </patternFill>
    </fill>
    <fill>
      <patternFill patternType="solid">
        <fgColor rgb="FF0A0A0A"/>
        <bgColor rgb="FF000000"/>
      </patternFill>
    </fill>
    <fill>
      <patternFill patternType="solid">
        <fgColor rgb="FFF2F2F2"/>
        <bgColor rgb="FFFFFFFF"/>
      </patternFill>
    </fill>
    <fill>
      <patternFill patternType="solid">
        <fgColor rgb="FFE8FFB3"/>
        <bgColor rgb="FFFFFF99"/>
      </patternFill>
    </fill>
    <fill>
      <patternFill patternType="solid">
        <fgColor rgb="001B2B4B"/>
      </patternFill>
    </fill>
    <fill>
      <patternFill patternType="solid">
        <fgColor rgb="00FFFFFF"/>
      </patternFill>
    </fill>
    <fill>
      <patternFill patternType="solid">
        <fgColor rgb="00D6E4FF"/>
      </patternFill>
    </fill>
    <fill>
      <patternFill patternType="solid">
        <fgColor rgb="00F2F2F2"/>
      </patternFill>
    </fill>
    <fill>
      <patternFill patternType="solid">
        <fgColor rgb="00E8FFD0"/>
      </patternFill>
    </fill>
    <fill>
      <patternFill patternType="solid">
        <fgColor rgb="000A0A0A"/>
      </patternFill>
    </fill>
    <fill>
      <patternFill patternType="solid">
        <fgColor rgb="002E2E2E"/>
      </patternFill>
    </fill>
    <fill>
      <patternFill patternType="solid">
        <fgColor rgb="00C8FF00"/>
      </patternFill>
    </fill>
    <fill>
      <patternFill patternType="solid">
        <fgColor rgb="00FFE8E8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" fontId="8" fillId="2" borderId="1" applyAlignment="1" pivotButton="0" quotePrefix="0" xfId="0">
      <alignment horizontal="general" vertical="bottom"/>
    </xf>
    <xf numFmtId="165" fontId="8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0" fontId="13" fillId="4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4" fontId="14" fillId="2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6" fontId="16" fillId="0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center" vertical="bottom" wrapText="1"/>
    </xf>
    <xf numFmtId="0" fontId="17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7" fontId="0" fillId="0" borderId="1" applyAlignment="1" pivotButton="0" quotePrefix="0" xfId="0">
      <alignment horizontal="general" vertical="bottom"/>
    </xf>
    <xf numFmtId="167" fontId="19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4" fontId="2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center" vertical="bottom"/>
    </xf>
    <xf numFmtId="0" fontId="17" fillId="5" borderId="1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167" fontId="0" fillId="5" borderId="1" applyAlignment="1" pivotButton="0" quotePrefix="0" xfId="0">
      <alignment horizontal="general" vertical="bottom"/>
    </xf>
    <xf numFmtId="167" fontId="19" fillId="5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164" fontId="20" fillId="5" borderId="1" applyAlignment="1" pivotButton="0" quotePrefix="0" xfId="0">
      <alignment horizontal="general" vertical="bottom"/>
    </xf>
    <xf numFmtId="0" fontId="21" fillId="5" borderId="1" applyAlignment="1" pivotButton="0" quotePrefix="0" xfId="0">
      <alignment horizontal="center" vertical="bottom"/>
    </xf>
    <xf numFmtId="0" fontId="22" fillId="6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center" vertical="bottom"/>
    </xf>
    <xf numFmtId="164" fontId="22" fillId="6" borderId="1" applyAlignment="1" pivotButton="0" quotePrefix="0" xfId="0">
      <alignment horizontal="center" vertical="bottom"/>
    </xf>
    <xf numFmtId="164" fontId="14" fillId="6" borderId="1" applyAlignment="1" pivotButton="0" quotePrefix="0" xfId="0">
      <alignment horizontal="general" vertical="bottom"/>
    </xf>
    <xf numFmtId="164" fontId="22" fillId="6" borderId="1" applyAlignment="1" pivotButton="0" quotePrefix="0" xfId="0">
      <alignment horizontal="general" vertical="bottom"/>
    </xf>
    <xf numFmtId="0" fontId="22" fillId="6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4" fontId="2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" fontId="8" fillId="2" borderId="1" applyAlignment="1" pivotButton="0" quotePrefix="0" xfId="0">
      <alignment horizontal="general" vertical="bottom"/>
    </xf>
    <xf numFmtId="165" fontId="8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164" fontId="11" fillId="0" borderId="1" applyAlignment="1" pivotButton="0" quotePrefix="0" xfId="0">
      <alignment horizontal="general" vertical="bottom"/>
    </xf>
    <xf numFmtId="165" fontId="11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11" fillId="3" borderId="1" applyAlignment="1" pivotButton="0" quotePrefix="0" xfId="0">
      <alignment horizontal="general" vertical="bottom"/>
    </xf>
    <xf numFmtId="0" fontId="13" fillId="4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164" fontId="14" fillId="2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66" fontId="16" fillId="0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center" vertical="bottom" wrapText="1"/>
    </xf>
    <xf numFmtId="0" fontId="17" fillId="0" borderId="1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20" fillId="0" borderId="1" applyAlignment="1" pivotButton="0" quotePrefix="0" xfId="0">
      <alignment horizontal="general" vertical="bottom"/>
    </xf>
    <xf numFmtId="0" fontId="21" fillId="0" borderId="1" applyAlignment="1" pivotButton="0" quotePrefix="0" xfId="0">
      <alignment horizontal="center" vertical="bottom"/>
    </xf>
    <xf numFmtId="0" fontId="17" fillId="5" borderId="1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165" fontId="0" fillId="5" borderId="1" applyAlignment="1" pivotButton="0" quotePrefix="0" xfId="0">
      <alignment horizontal="general" vertical="bottom"/>
    </xf>
    <xf numFmtId="164" fontId="11" fillId="5" borderId="1" applyAlignment="1" pivotButton="0" quotePrefix="0" xfId="0">
      <alignment horizontal="general" vertical="bottom"/>
    </xf>
    <xf numFmtId="164" fontId="20" fillId="5" borderId="1" applyAlignment="1" pivotButton="0" quotePrefix="0" xfId="0">
      <alignment horizontal="general" vertical="bottom"/>
    </xf>
    <xf numFmtId="0" fontId="21" fillId="5" borderId="1" applyAlignment="1" pivotButton="0" quotePrefix="0" xfId="0">
      <alignment horizontal="center" vertical="bottom"/>
    </xf>
    <xf numFmtId="0" fontId="22" fillId="6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center" vertical="bottom"/>
    </xf>
    <xf numFmtId="164" fontId="22" fillId="6" borderId="1" applyAlignment="1" pivotButton="0" quotePrefix="0" xfId="0">
      <alignment horizontal="center" vertical="bottom"/>
    </xf>
    <xf numFmtId="164" fontId="14" fillId="6" borderId="1" applyAlignment="1" pivotButton="0" quotePrefix="0" xfId="0">
      <alignment horizontal="general" vertical="bottom"/>
    </xf>
    <xf numFmtId="164" fontId="22" fillId="6" borderId="1" applyAlignment="1" pivotButton="0" quotePrefix="0" xfId="0">
      <alignment horizontal="general" vertical="bottom"/>
    </xf>
    <xf numFmtId="0" fontId="22" fillId="6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4" fontId="20" fillId="0" borderId="0" applyAlignment="1" pivotButton="0" quotePrefix="0" xfId="0">
      <alignment horizontal="general" vertical="bottom"/>
    </xf>
    <xf numFmtId="0" fontId="13" fillId="4" borderId="1" applyAlignment="1" pivotButton="0" quotePrefix="0" xfId="0">
      <alignment horizontal="general" vertical="bottom"/>
    </xf>
    <xf numFmtId="165" fontId="14" fillId="0" borderId="1" applyAlignment="1" pivotButton="0" quotePrefix="0" xfId="0">
      <alignment horizontal="general" vertical="bottom"/>
    </xf>
    <xf numFmtId="0" fontId="23" fillId="0" borderId="1" applyAlignment="1" pivotButton="0" quotePrefix="0" xfId="0">
      <alignment horizontal="general" vertical="bottom"/>
    </xf>
    <xf numFmtId="164" fontId="14" fillId="0" borderId="1" applyAlignment="1" pivotButton="0" quotePrefix="0" xfId="0">
      <alignment horizontal="general" vertical="bottom"/>
    </xf>
    <xf numFmtId="0" fontId="24" fillId="7" borderId="0" applyAlignment="1" pivotButton="0" quotePrefix="0" xfId="0">
      <alignment horizontal="left" vertical="center" wrapText="1"/>
    </xf>
    <xf numFmtId="0" fontId="25" fillId="8" borderId="0" applyAlignment="1" pivotButton="0" quotePrefix="0" xfId="0">
      <alignment horizontal="left" vertical="center" wrapText="1"/>
    </xf>
    <xf numFmtId="168" fontId="25" fillId="8" borderId="0" applyAlignment="1" pivotButton="0" quotePrefix="0" xfId="0">
      <alignment horizontal="right" vertical="center" wrapText="1"/>
    </xf>
    <xf numFmtId="0" fontId="26" fillId="8" borderId="0" applyAlignment="1" pivotButton="0" quotePrefix="0" xfId="0">
      <alignment horizontal="left" vertical="center" wrapText="1"/>
    </xf>
    <xf numFmtId="0" fontId="25" fillId="9" borderId="0" applyAlignment="1" pivotButton="0" quotePrefix="0" xfId="0">
      <alignment horizontal="left" vertical="center" wrapText="1"/>
    </xf>
    <xf numFmtId="10" fontId="25" fillId="9" borderId="0" applyAlignment="1" pivotButton="0" quotePrefix="0" xfId="0">
      <alignment horizontal="right" vertical="center" wrapText="1"/>
    </xf>
    <xf numFmtId="1" fontId="25" fillId="9" borderId="0" applyAlignment="1" pivotButton="0" quotePrefix="0" xfId="0">
      <alignment horizontal="right" vertical="center" wrapText="1"/>
    </xf>
    <xf numFmtId="0" fontId="25" fillId="10" borderId="0" applyAlignment="1" pivotButton="0" quotePrefix="0" xfId="0">
      <alignment horizontal="left" vertical="center" wrapText="1"/>
    </xf>
    <xf numFmtId="169" fontId="27" fillId="10" borderId="0" applyAlignment="1" pivotButton="0" quotePrefix="0" xfId="0">
      <alignment horizontal="right" vertical="center" wrapText="1"/>
    </xf>
    <xf numFmtId="168" fontId="27" fillId="10" borderId="0" applyAlignment="1" pivotButton="0" quotePrefix="0" xfId="0">
      <alignment horizontal="right" vertical="center" wrapText="1"/>
    </xf>
    <xf numFmtId="168" fontId="25" fillId="10" borderId="0" applyAlignment="1" pivotButton="0" quotePrefix="0" xfId="0">
      <alignment horizontal="right" vertical="center" wrapText="1"/>
    </xf>
    <xf numFmtId="0" fontId="27" fillId="10" borderId="0" applyAlignment="1" pivotButton="0" quotePrefix="0" xfId="0">
      <alignment horizontal="left" vertical="center" wrapText="1"/>
    </xf>
    <xf numFmtId="0" fontId="27" fillId="11" borderId="0" applyAlignment="1" pivotButton="0" quotePrefix="0" xfId="0">
      <alignment horizontal="left" vertical="center" wrapText="1"/>
    </xf>
    <xf numFmtId="49" fontId="25" fillId="11" borderId="0" applyAlignment="1" pivotButton="0" quotePrefix="0" xfId="0">
      <alignment horizontal="right" vertical="center" wrapText="1"/>
    </xf>
    <xf numFmtId="0" fontId="28" fillId="12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168" fontId="27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30" fillId="13" borderId="0" applyAlignment="1" pivotButton="0" quotePrefix="0" xfId="0">
      <alignment horizontal="left" vertical="center" wrapText="1"/>
    </xf>
    <xf numFmtId="0" fontId="30" fillId="13" borderId="0" applyAlignment="1" pivotButton="0" quotePrefix="0" xfId="0">
      <alignment horizontal="right" vertical="center" wrapText="1"/>
    </xf>
    <xf numFmtId="169" fontId="25" fillId="8" borderId="2" applyAlignment="1" pivotButton="0" quotePrefix="0" xfId="0">
      <alignment horizontal="right" vertical="center" wrapText="1"/>
    </xf>
    <xf numFmtId="169" fontId="27" fillId="11" borderId="2" applyAlignment="1" pivotButton="0" quotePrefix="0" xfId="0">
      <alignment horizontal="right" vertical="center" wrapText="1"/>
    </xf>
    <xf numFmtId="169" fontId="27" fillId="14" borderId="2" applyAlignment="1" pivotButton="0" quotePrefix="0" xfId="0">
      <alignment horizontal="right" vertical="center" wrapText="1"/>
    </xf>
    <xf numFmtId="168" fontId="27" fillId="14" borderId="2" applyAlignment="1" pivotButton="0" quotePrefix="0" xfId="0">
      <alignment horizontal="right" vertical="center" wrapText="1"/>
    </xf>
    <xf numFmtId="0" fontId="31" fillId="0" borderId="0" applyAlignment="1" pivotButton="0" quotePrefix="0" xfId="0">
      <alignment horizontal="left" vertical="center" wrapText="1"/>
    </xf>
    <xf numFmtId="0" fontId="30" fillId="13" borderId="0" applyAlignment="1" pivotButton="0" quotePrefix="0" xfId="0">
      <alignment horizontal="center" vertical="center" wrapText="1"/>
    </xf>
    <xf numFmtId="168" fontId="25" fillId="8" borderId="2" applyAlignment="1" pivotButton="0" quotePrefix="0" xfId="0">
      <alignment horizontal="right" vertical="center" wrapText="1"/>
    </xf>
    <xf numFmtId="170" fontId="25" fillId="8" borderId="2" applyAlignment="1" pivotButton="0" quotePrefix="0" xfId="0">
      <alignment horizontal="right" vertical="center" wrapText="1"/>
    </xf>
    <xf numFmtId="0" fontId="32" fillId="8" borderId="2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left" vertical="center" wrapText="1"/>
    </xf>
    <xf numFmtId="170" fontId="32" fillId="10" borderId="0" applyAlignment="1" pivotButton="0" quotePrefix="0" xfId="0">
      <alignment horizontal="right" vertical="center" wrapText="1"/>
    </xf>
    <xf numFmtId="0" fontId="34" fillId="14" borderId="0" applyAlignment="1" pivotButton="0" quotePrefix="0" xfId="0">
      <alignment horizontal="left" vertical="center" wrapText="1"/>
    </xf>
    <xf numFmtId="168" fontId="34" fillId="14" borderId="0" applyAlignment="1" pivotButton="0" quotePrefix="0" xfId="0">
      <alignment horizontal="right" vertical="center" wrapText="1"/>
    </xf>
    <xf numFmtId="170" fontId="24" fillId="12" borderId="0" applyAlignment="1" pivotButton="0" quotePrefix="0" xfId="0">
      <alignment horizontal="right" vertical="center" wrapText="1"/>
    </xf>
    <xf numFmtId="0" fontId="35" fillId="0" borderId="0" applyAlignment="1" pivotButton="0" quotePrefix="0" xfId="0">
      <alignment horizontal="left" vertical="center" wrapText="1"/>
    </xf>
    <xf numFmtId="168" fontId="27" fillId="11" borderId="0" applyAlignment="1" pivotButton="0" quotePrefix="0" xfId="0">
      <alignment horizontal="right" vertical="center" wrapText="1"/>
    </xf>
    <xf numFmtId="49" fontId="27" fillId="11" borderId="0" applyAlignment="1" pivotButton="0" quotePrefix="0" xfId="0">
      <alignment horizontal="right" vertical="center" wrapText="1"/>
    </xf>
    <xf numFmtId="0" fontId="36" fillId="10" borderId="0" applyAlignment="1" pivotButton="0" quotePrefix="0" xfId="0">
      <alignment horizontal="left" vertical="center" wrapText="1"/>
    </xf>
    <xf numFmtId="0" fontId="27" fillId="8" borderId="0" applyAlignment="1" pivotButton="0" quotePrefix="0" xfId="0">
      <alignment horizontal="left" vertical="center" wrapText="1"/>
    </xf>
    <xf numFmtId="0" fontId="36" fillId="8" borderId="0" applyAlignment="1" pivotButton="0" quotePrefix="0" xfId="0">
      <alignment horizontal="left" vertical="center" wrapText="1"/>
    </xf>
    <xf numFmtId="0" fontId="30" fillId="13" borderId="2" applyAlignment="1" pivotButton="0" quotePrefix="0" xfId="0">
      <alignment horizontal="left" vertical="center" wrapText="1"/>
    </xf>
    <xf numFmtId="0" fontId="30" fillId="13" borderId="2" applyAlignment="1" pivotButton="0" quotePrefix="0" xfId="0">
      <alignment horizontal="right" vertical="center" wrapText="1"/>
    </xf>
    <xf numFmtId="0" fontId="25" fillId="10" borderId="2" applyAlignment="1" pivotButton="0" quotePrefix="0" xfId="0">
      <alignment horizontal="left" vertical="center" wrapText="1"/>
    </xf>
    <xf numFmtId="168" fontId="25" fillId="10" borderId="2" applyAlignment="1" pivotButton="0" quotePrefix="0" xfId="0">
      <alignment horizontal="right" vertical="center" wrapText="1"/>
    </xf>
    <xf numFmtId="170" fontId="32" fillId="10" borderId="2" applyAlignment="1" pivotButton="0" quotePrefix="0" xfId="0">
      <alignment horizontal="right" vertical="center" wrapText="1"/>
    </xf>
    <xf numFmtId="168" fontId="27" fillId="11" borderId="2" applyAlignment="1" pivotButton="0" quotePrefix="0" xfId="0">
      <alignment horizontal="right" vertical="center" wrapText="1"/>
    </xf>
    <xf numFmtId="0" fontId="27" fillId="10" borderId="2" applyAlignment="1" pivotButton="0" quotePrefix="0" xfId="0">
      <alignment horizontal="left" vertical="center" wrapText="1"/>
    </xf>
    <xf numFmtId="168" fontId="27" fillId="10" borderId="2" applyAlignment="1" pivotButton="0" quotePrefix="0" xfId="0">
      <alignment horizontal="right" vertical="center" wrapText="1"/>
    </xf>
    <xf numFmtId="170" fontId="37" fillId="10" borderId="2" applyAlignment="1" pivotButton="0" quotePrefix="0" xfId="0">
      <alignment horizontal="right" vertical="center" wrapText="1"/>
    </xf>
    <xf numFmtId="0" fontId="25" fillId="8" borderId="2" applyAlignment="1" pivotButton="0" quotePrefix="0" xfId="0">
      <alignment horizontal="left" vertical="center" wrapText="1"/>
    </xf>
    <xf numFmtId="168" fontId="25" fillId="15" borderId="2" applyAlignment="1" pivotButton="0" quotePrefix="0" xfId="0">
      <alignment horizontal="right" vertical="center" wrapText="1"/>
    </xf>
    <xf numFmtId="170" fontId="32" fillId="8" borderId="2" applyAlignment="1" pivotButton="0" quotePrefix="0" xfId="0">
      <alignment horizontal="right" vertical="center" wrapText="1"/>
    </xf>
    <xf numFmtId="0" fontId="34" fillId="14" borderId="2" applyAlignment="1" pivotButton="0" quotePrefix="0" xfId="0">
      <alignment horizontal="left" vertical="center" wrapText="1"/>
    </xf>
    <xf numFmtId="168" fontId="34" fillId="14" borderId="2" applyAlignment="1" pivotButton="0" quotePrefix="0" xfId="0">
      <alignment horizontal="right" vertical="center" wrapText="1"/>
    </xf>
    <xf numFmtId="170" fontId="24" fillId="12" borderId="2" applyAlignment="1" pivotButton="0" quotePrefix="0" xfId="0">
      <alignment horizontal="right" vertical="center" wrapText="1"/>
    </xf>
    <xf numFmtId="0" fontId="31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8FFB3"/>
      <rgbColor rgb="FFF2F2F2"/>
      <rgbColor rgb="FF660066"/>
      <rgbColor rgb="FFFF8080"/>
      <rgbColor rgb="FF0066CC"/>
      <rgbColor rgb="FFCCCCFF"/>
      <rgbColor rgb="FF000080"/>
      <rgbColor rgb="FFFF00FF"/>
      <rgbColor rgb="FFC8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A9FE7"/>
      <rgbColor rgb="FF99CC00"/>
      <rgbColor rgb="FFFFCC00"/>
      <rgbColor rgb="FFFF9900"/>
      <rgbColor rgb="FFFF4D4D"/>
      <rgbColor rgb="FF555555"/>
      <rgbColor rgb="FF969696"/>
      <rgbColor rgb="FF003366"/>
      <rgbColor rgb="FF339966"/>
      <rgbColor rgb="FF0A0A0A"/>
      <rgbColor rgb="FF0064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8FF00"/>
    <outlinePr summaryBelow="1" summaryRight="1"/>
    <pageSetUpPr fitToPage="0"/>
  </sheetPr>
  <dimension ref="B2:E5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53" min="1" max="1"/>
    <col width="40" customWidth="1" style="53" min="2" max="2"/>
    <col width="20" customWidth="1" style="53" min="3" max="6"/>
  </cols>
  <sheetData>
    <row r="1" ht="15" customHeight="1" s="54"/>
    <row r="2" ht="17.25" customHeight="1" s="54">
      <c r="B2" s="55" t="inlineStr">
        <is>
          <t>BONASHIP — Kalkulačka spolufinancovania</t>
        </is>
      </c>
    </row>
    <row r="3" ht="15" customHeight="1" s="54">
      <c r="B3" s="56" t="inlineStr">
        <is>
          <t>Modré hodnoty sú vstupné parametre — môžete ich meniť</t>
        </is>
      </c>
    </row>
    <row r="4" ht="15" customHeight="1" s="54"/>
    <row r="5" ht="15" customHeight="1" s="54">
      <c r="B5" s="57" t="inlineStr">
        <is>
          <t>PARAMETRE NEHNUTEĽNOSTI</t>
        </is>
      </c>
    </row>
    <row r="6" ht="15" customHeight="1" s="54">
      <c r="B6" s="58" t="inlineStr">
        <is>
          <t>Hodnota nehnuteľnosti</t>
        </is>
      </c>
      <c r="C6" s="59" t="n">
        <v>180000</v>
      </c>
      <c r="D6" s="60" t="inlineStr">
        <is>
          <t>Odhadovaná trhová cena</t>
        </is>
      </c>
    </row>
    <row r="7" ht="15" customHeight="1" s="54">
      <c r="B7" s="58" t="inlineStr">
        <is>
          <t>Vlastné zdroje</t>
        </is>
      </c>
      <c r="C7" s="59" t="n">
        <v>18000</v>
      </c>
      <c r="D7" s="60" t="inlineStr">
        <is>
          <t>Hotovosť / úspory zákazníka</t>
        </is>
      </c>
    </row>
    <row r="8" ht="15" customHeight="1" s="54">
      <c r="B8" s="58" t="inlineStr">
        <is>
          <t>Suma od Bonaship</t>
        </is>
      </c>
      <c r="C8" s="59" t="n">
        <v>18000</v>
      </c>
      <c r="D8" s="60" t="inlineStr">
        <is>
          <t>Spolufinancovanie (max 15% hodnoty)</t>
        </is>
      </c>
    </row>
    <row r="9" ht="15" customHeight="1" s="54">
      <c r="B9" s="58" t="inlineStr">
        <is>
          <t>Horizont vysporiadania (roky)</t>
        </is>
      </c>
      <c r="C9" s="61" t="n">
        <v>7</v>
      </c>
      <c r="D9" s="60" t="inlineStr">
        <is>
          <t>Kedy plánujete predať / refinancovať</t>
        </is>
      </c>
    </row>
    <row r="10" ht="15" customHeight="1" s="54">
      <c r="B10" s="58" t="inlineStr">
        <is>
          <t>Očakávané zhodnotenie p.a.</t>
        </is>
      </c>
      <c r="C10" s="62" t="n">
        <v>0.0391</v>
      </c>
      <c r="D10" s="60" t="inlineStr">
        <is>
          <t>SK priemer podľa NBS: 3.91% p.a.</t>
        </is>
      </c>
    </row>
    <row r="11" ht="15" customHeight="1" s="54"/>
    <row r="12" ht="15" customHeight="1" s="54">
      <c r="B12" s="57" t="inlineStr">
        <is>
          <t>BONASHIP PODMIENKY (UPRAVITEĽNÉ)</t>
        </is>
      </c>
    </row>
    <row r="13" ht="15" customHeight="1" s="54">
      <c r="B13" s="58" t="inlineStr">
        <is>
          <t>Podiel z predajnej ceny: 1–3 roky</t>
        </is>
      </c>
      <c r="C13" s="62" t="n">
        <v>0.15</v>
      </c>
    </row>
    <row r="14" ht="15" customHeight="1" s="54">
      <c r="B14" s="58" t="inlineStr">
        <is>
          <t>Podiel z predajnej ceny: 4–6 rokov</t>
        </is>
      </c>
      <c r="C14" s="62" t="n">
        <v>0.175</v>
      </c>
    </row>
    <row r="15" ht="15" customHeight="1" s="54">
      <c r="B15" s="58" t="inlineStr">
        <is>
          <t>Podiel z predajnej ceny: 7–10 rokov</t>
        </is>
      </c>
      <c r="C15" s="62" t="n">
        <v>0.2</v>
      </c>
    </row>
    <row r="16" ht="15" customHeight="1" s="54">
      <c r="B16" s="63" t="inlineStr">
        <is>
          <t>Poznámka: podiel sa počíta z CELEJ predajnej ceny</t>
        </is>
      </c>
      <c r="C16" s="64" t="n"/>
    </row>
    <row r="17" ht="15" customHeight="1" s="54">
      <c r="B17" s="58" t="inlineStr">
        <is>
          <t>Jednorazový poplatok (% z investície)</t>
        </is>
      </c>
      <c r="C17" s="62" t="n">
        <v>0.05</v>
      </c>
    </row>
    <row r="18" ht="15" customHeight="1" s="54">
      <c r="B18" s="58" t="inlineStr">
        <is>
          <t>Max. poplatok</t>
        </is>
      </c>
      <c r="C18" s="59" t="n">
        <v>20000</v>
      </c>
    </row>
    <row r="19" ht="15" customHeight="1" s="54"/>
    <row r="20" ht="15" customHeight="1" s="54">
      <c r="B20" s="57" t="inlineStr">
        <is>
          <t>VÝPOČET BONASHIP</t>
        </is>
      </c>
    </row>
    <row r="21" ht="15" customHeight="1" s="54">
      <c r="B21" s="58" t="inlineStr">
        <is>
          <t>Budúca hodnota nehnuteľnosti</t>
        </is>
      </c>
      <c r="C21" s="65">
        <f>C6*(1+C10)^C9</f>
        <v/>
      </c>
    </row>
    <row r="22" ht="15" customHeight="1" s="54">
      <c r="B22" s="58" t="inlineStr">
        <is>
          <t>Zhodnotenie (pre info)</t>
        </is>
      </c>
      <c r="C22" s="65">
        <f>C21-C6</f>
        <v/>
      </c>
    </row>
    <row r="23" ht="15" customHeight="1" s="54">
      <c r="B23" s="58" t="inlineStr">
        <is>
          <t>Aplikovaný podiel</t>
        </is>
      </c>
      <c r="C23" s="66">
        <f>IF(C9&lt;=3,C13,IF(C9&lt;=6,C14,C15))</f>
        <v/>
      </c>
    </row>
    <row r="24" ht="15" customHeight="1" s="54">
      <c r="B24" s="58" t="inlineStr">
        <is>
          <t>Investor payout (% z predajnej ceny)</t>
        </is>
      </c>
      <c r="C24" s="65">
        <f>C21*C23</f>
        <v/>
      </c>
    </row>
    <row r="25" ht="15" customHeight="1" s="54">
      <c r="B25" s="58" t="inlineStr">
        <is>
          <t>Jednorazový poplatok</t>
        </is>
      </c>
      <c r="C25" s="65">
        <f>MIN(C8*C17,C18)</f>
        <v/>
      </c>
    </row>
    <row r="26" ht="15" customHeight="1" s="54">
      <c r="B26" s="58" t="inlineStr">
        <is>
          <t>Náklad zákazníka (bez poplatku)</t>
        </is>
      </c>
      <c r="C26" s="65">
        <f>C24-C8</f>
        <v/>
      </c>
    </row>
    <row r="27" ht="15" customHeight="1" s="54">
      <c r="B27" s="58" t="inlineStr">
        <is>
          <t>Celkový investor payout</t>
        </is>
      </c>
      <c r="C27" s="65">
        <f>C24</f>
        <v/>
      </c>
    </row>
    <row r="28" ht="15" customHeight="1" s="54">
      <c r="B28" s="67" t="inlineStr">
        <is>
          <t>Celkový náklad zákazníka</t>
        </is>
      </c>
      <c r="C28" s="68">
        <f>C25+C24-C8</f>
        <v/>
      </c>
    </row>
    <row r="29" ht="15" customHeight="1" s="54">
      <c r="B29" s="67" t="inlineStr">
        <is>
          <t>Zákazník zaplatí investorovi celkom</t>
        </is>
      </c>
      <c r="C29" s="68">
        <f>C25+C24</f>
        <v/>
      </c>
    </row>
    <row r="30" ht="15" customHeight="1" s="54">
      <c r="B30" s="67" t="inlineStr">
        <is>
          <t>Zhodnotenie zákazníka (zostatok)</t>
        </is>
      </c>
      <c r="C30" s="68">
        <f>C22-(C24-C8)</f>
        <v/>
      </c>
    </row>
    <row r="31" ht="15" customHeight="1" s="54">
      <c r="B31" s="67" t="inlineStr">
        <is>
          <t>Mesačná splátka Bonaship</t>
        </is>
      </c>
      <c r="C31" s="68" t="n">
        <v>0</v>
      </c>
    </row>
    <row r="32" ht="15" customHeight="1" s="54">
      <c r="B32" s="53" t="inlineStr">
        <is>
          <t>IRR investora (ročný výnos, zložený)</t>
        </is>
      </c>
      <c r="C32" s="66">
        <f>IFERROR((C24/C8)^(1/C9)-1, 0)</f>
        <v/>
      </c>
    </row>
    <row r="33" ht="15" customHeight="1" s="54">
      <c r="B33" s="57" t="inlineStr">
        <is>
          <t>SCENÁRE ZHODNOTENIA</t>
        </is>
      </c>
    </row>
    <row r="34" ht="15" customHeight="1" s="54">
      <c r="B34" s="69" t="n"/>
      <c r="C34" s="69" t="inlineStr">
        <is>
          <t>Konzervatívny (1%)</t>
        </is>
      </c>
      <c r="D34" s="69" t="inlineStr">
        <is>
          <t>Stredný (3%)</t>
        </is>
      </c>
      <c r="E34" s="69" t="inlineStr">
        <is>
          <t>Optimistický (5%)</t>
        </is>
      </c>
    </row>
    <row r="35" ht="15" customHeight="1" s="54">
      <c r="B35" s="70" t="inlineStr">
        <is>
          <t>Ročné zhodnotenie</t>
        </is>
      </c>
      <c r="C35" s="64" t="n">
        <v>0.01</v>
      </c>
      <c r="D35" s="64" t="n">
        <v>0.03</v>
      </c>
      <c r="E35" s="64" t="n">
        <v>0.05</v>
      </c>
    </row>
    <row r="36" ht="15" customHeight="1" s="54">
      <c r="B36" s="70" t="inlineStr">
        <is>
          <t>Budúca hodnota bytu</t>
        </is>
      </c>
      <c r="C36" s="71">
        <f>C6*(1+C35)^C9</f>
        <v/>
      </c>
      <c r="D36" s="71">
        <f>C6*(1+D35)^C9</f>
        <v/>
      </c>
      <c r="E36" s="71">
        <f>C6*(1+E35)^C9</f>
        <v/>
      </c>
    </row>
    <row r="37" ht="15" customHeight="1" s="54">
      <c r="B37" s="70" t="inlineStr">
        <is>
          <t>Zhodnotenie</t>
        </is>
      </c>
      <c r="C37" s="71">
        <f>C36-C6</f>
        <v/>
      </c>
      <c r="D37" s="71">
        <f>D36-C6</f>
        <v/>
      </c>
      <c r="E37" s="71">
        <f>E36-C6</f>
        <v/>
      </c>
    </row>
    <row r="38" ht="15" customHeight="1" s="54">
      <c r="B38" s="70" t="inlineStr">
        <is>
          <t>Podiel investora</t>
        </is>
      </c>
      <c r="C38" s="65">
        <f>C36*C23</f>
        <v/>
      </c>
      <c r="D38" s="65">
        <f>D36*C23</f>
        <v/>
      </c>
      <c r="E38" s="65">
        <f>E36*C23</f>
        <v/>
      </c>
    </row>
    <row r="39" ht="15" customHeight="1" s="54">
      <c r="B39" s="70" t="inlineStr">
        <is>
          <t>Náklad zákazníka celkom</t>
        </is>
      </c>
      <c r="C39" s="68">
        <f>C25+C38-C8</f>
        <v/>
      </c>
      <c r="D39" s="68">
        <f>C25+D38-C8</f>
        <v/>
      </c>
      <c r="E39" s="68">
        <f>C25+E38-C8</f>
        <v/>
      </c>
    </row>
    <row r="40" ht="15" customHeight="1" s="54">
      <c r="B40" s="70" t="inlineStr">
        <is>
          <t>Zhodnotenie zákazníka</t>
        </is>
      </c>
      <c r="C40" s="65">
        <f>C37-(C38-C8)</f>
        <v/>
      </c>
      <c r="D40" s="65">
        <f>D37-(D38-C8)</f>
        <v/>
      </c>
      <c r="E40" s="65">
        <f>E37-(E38-C8)</f>
        <v/>
      </c>
    </row>
    <row r="41" ht="15" customHeight="1" s="54">
      <c r="B41" s="58" t="inlineStr">
        <is>
          <t>IRR investora p.a.</t>
        </is>
      </c>
      <c r="C41" s="66">
        <f>IFERROR((C38/C8)^(1/C9)-1,0)</f>
        <v/>
      </c>
      <c r="D41" s="66">
        <f>IFERROR((D38/C8)^(1/C9)-1,0)</f>
        <v/>
      </c>
      <c r="E41" s="66">
        <f>IFERROR((E38/C8)^(1/C9)-1,0)</f>
        <v/>
      </c>
    </row>
    <row r="43" ht="6" customHeight="1" s="54"/>
    <row r="44" ht="20" customHeight="1" s="54">
      <c r="B44" s="100" t="inlineStr">
        <is>
          <t>HYPOTÉKA ZÁKAZNÍKA (VSTUP PRE REFINANCOVANIE)</t>
        </is>
      </c>
    </row>
    <row r="45" ht="18" customHeight="1" s="54">
      <c r="B45" s="101" t="inlineStr">
        <is>
          <t>Suma hypotéky zákazníka</t>
        </is>
      </c>
      <c r="C45" s="102">
        <f>C6-C7-C8</f>
        <v/>
      </c>
      <c r="D45" s="103" t="inlineStr">
        <is>
          <t>Hodnota − vlastné zdroje − Bonaship</t>
        </is>
      </c>
    </row>
    <row r="46" ht="18" customHeight="1" s="54">
      <c r="B46" s="104" t="inlineStr">
        <is>
          <t>Úroková sadzba hypotéky p.a.</t>
        </is>
      </c>
      <c r="C46" s="105" t="n">
        <v>0.025</v>
      </c>
      <c r="D46" s="103" t="inlineStr">
        <is>
          <t>Zadajte reálnu sadzbu (napr. 0.025 = 2.5%)</t>
        </is>
      </c>
    </row>
    <row r="47" ht="18" customHeight="1" s="54">
      <c r="B47" s="104" t="inlineStr">
        <is>
          <t>Splatnosť hypotéky (roky)</t>
        </is>
      </c>
      <c r="C47" s="106" t="n">
        <v>30</v>
      </c>
      <c r="D47" s="103" t="inlineStr">
        <is>
          <t>Typicky 20–30 rokov</t>
        </is>
      </c>
    </row>
    <row r="48" ht="18" customHeight="1" s="54">
      <c r="B48" s="107" t="inlineStr">
        <is>
          <t>Mesačná splátka hypotéky</t>
        </is>
      </c>
      <c r="C48" s="108">
        <f>PMT(C46/12,C47*12,-C45)</f>
        <v/>
      </c>
      <c r="D48" s="103" t="inlineStr">
        <is>
          <t>Vypočítané automaticky</t>
        </is>
      </c>
    </row>
    <row r="49" ht="18" customHeight="1" s="54">
      <c r="B49" s="107" t="inlineStr">
        <is>
          <t>Zostatok hypotéky po N rokoch</t>
        </is>
      </c>
      <c r="C49" s="109">
        <f>PV(C46/12,C47*12-C9*12,-C48)</f>
        <v/>
      </c>
      <c r="D49" s="103" t="inlineStr">
        <is>
          <t>Reziduálny zostatok pri exite</t>
        </is>
      </c>
    </row>
    <row r="50" ht="6" customHeight="1" s="54"/>
    <row r="51" ht="20" customHeight="1" s="54">
      <c r="B51" s="100" t="inlineStr">
        <is>
          <t>EXIT B — REFINANCOVANIE (bez predaja)</t>
        </is>
      </c>
    </row>
    <row r="52" ht="18" customHeight="1" s="54">
      <c r="B52" s="107" t="inlineStr">
        <is>
          <t>Budúca hodnota nehnuteľnosti</t>
        </is>
      </c>
      <c r="C52" s="110">
        <f>C21</f>
        <v/>
      </c>
      <c r="D52" s="103" t="inlineStr">
        <is>
          <t>Pri vybratom horizonte</t>
        </is>
      </c>
    </row>
    <row r="53" ht="18" customHeight="1" s="54">
      <c r="B53" s="107" t="inlineStr">
        <is>
          <t>Max nová hypotéka (80 % LTV)</t>
        </is>
      </c>
      <c r="C53" s="110">
        <f>C52*0.8</f>
        <v/>
      </c>
      <c r="D53" s="103" t="inlineStr">
        <is>
          <t>Štandard banky: 80 % z FV</t>
        </is>
      </c>
    </row>
    <row r="54" ht="18" customHeight="1" s="54">
      <c r="B54" s="107" t="inlineStr">
        <is>
          <t>Zostatok starej hypotéky</t>
        </is>
      </c>
      <c r="C54" s="110">
        <f>C49</f>
        <v/>
      </c>
      <c r="D54" s="103" t="inlineStr">
        <is>
          <t>Čo ešte dlhujete banke</t>
        </is>
      </c>
    </row>
    <row r="55" ht="18" customHeight="1" s="54">
      <c r="B55" s="107" t="inlineStr">
        <is>
          <t>Dostupná hotovosť z refinancovania</t>
        </is>
      </c>
      <c r="C55" s="110">
        <f>MAX(C53-C54,0)</f>
        <v/>
      </c>
      <c r="D55" s="103" t="inlineStr">
        <is>
          <t>Nová hypotéka − starý zostatok</t>
        </is>
      </c>
    </row>
    <row r="56" ht="18" customHeight="1" s="54">
      <c r="B56" s="107" t="inlineStr">
        <is>
          <t>Bonaship payout (zákazník zaplatí)</t>
        </is>
      </c>
      <c r="C56" s="110">
        <f>C29</f>
        <v/>
      </c>
      <c r="D56" s="103" t="inlineStr">
        <is>
          <t>Poplatok + podiel z predajnej ceny</t>
        </is>
      </c>
    </row>
    <row r="57" ht="18" customHeight="1" s="54">
      <c r="B57" s="111" t="inlineStr">
        <is>
          <t>Zostatok pre zákazníka (po Bonaship)</t>
        </is>
      </c>
      <c r="C57" s="109">
        <f>C55-C56</f>
        <v/>
      </c>
      <c r="D57" s="103" t="inlineStr">
        <is>
          <t>Koľko ostane zákazníkovi z refi</t>
        </is>
      </c>
    </row>
    <row r="58" ht="18" customHeight="1" s="54">
      <c r="B58" s="112" t="inlineStr">
        <is>
          <t>Refinancovanie bez predaja je možné?</t>
        </is>
      </c>
      <c r="C58" s="113">
        <f>IF(C55&gt;=C56,"ÁNO ✓ — zákazník si zachová byt","NIE — potrebný predaj alebo doplatok")</f>
        <v/>
      </c>
      <c r="D58" s="103" t="inlineStr">
        <is>
          <t>Ak ÁNO: zákazník splní Bonaship z cashout refinancovania</t>
        </is>
      </c>
    </row>
  </sheetData>
  <mergeCells count="4">
    <mergeCell ref="B44:E44"/>
    <mergeCell ref="B51:E51"/>
    <mergeCell ref="B3:E3"/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4D4D"/>
    <outlinePr summaryBelow="1" summaryRight="1"/>
    <pageSetUpPr fitToPage="0"/>
  </sheetPr>
  <dimension ref="B2:J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53" min="1" max="1"/>
    <col width="28" customWidth="1" style="53" min="2" max="2"/>
    <col width="18" customWidth="1" style="53" min="3" max="3"/>
    <col width="12" customWidth="1" style="53" min="4" max="4"/>
    <col width="10" customWidth="1" style="53" min="5" max="5"/>
    <col width="16" customWidth="1" style="53" min="6" max="17"/>
    <col width="22" customWidth="1" style="54" min="7" max="7"/>
    <col width="22" customWidth="1" style="54" min="8" max="8"/>
    <col width="18" customWidth="1" style="54" min="9" max="9"/>
    <col width="10" customWidth="1" style="54" min="10" max="10"/>
  </cols>
  <sheetData>
    <row r="2" ht="17.25" customHeight="1" s="54">
      <c r="B2" s="55" t="inlineStr">
        <is>
          <t>POROVNANIE — Bonaship vs. Spotrebné úvery</t>
        </is>
      </c>
    </row>
    <row r="3" ht="15" customHeight="1" s="54">
      <c r="B3" s="58" t="inlineStr">
        <is>
          <t>Suma zákazníka (auto z Model sheetu):</t>
        </is>
      </c>
      <c r="C3" s="72">
        <f>'Bonaship Model'!C8</f>
        <v/>
      </c>
      <c r="D3" s="73" t="inlineStr">
        <is>
          <t>← automaticky z Model sheetu, meňte tam</t>
        </is>
      </c>
      <c r="E3" s="74" t="n"/>
    </row>
    <row r="5" ht="15" customHeight="1" s="54">
      <c r="B5" s="57" t="inlineStr">
        <is>
          <t>SPLATNOSŤ: 3 ROKOV</t>
        </is>
      </c>
    </row>
    <row r="6" ht="26.25" customHeight="1" s="54">
      <c r="B6" s="75" t="inlineStr">
        <is>
          <t>Poskytovateľ</t>
        </is>
      </c>
      <c r="C6" s="75" t="inlineStr">
        <is>
          <t>Produkt</t>
        </is>
      </c>
      <c r="D6" s="75" t="inlineStr">
        <is>
          <t>Typ</t>
        </is>
      </c>
      <c r="E6" s="75" t="inlineStr">
        <is>
          <t>Úrok p.a.</t>
        </is>
      </c>
      <c r="F6" s="75" t="inlineStr">
        <is>
          <t>Poplatok</t>
        </is>
      </c>
      <c r="G6" s="75" t="inlineStr">
        <is>
          <t>Splátka/mes — zákazník</t>
        </is>
      </c>
      <c r="H6" s="75" t="inlineStr">
        <is>
          <t>Zákazník zaplatí celkom</t>
        </is>
      </c>
      <c r="I6" s="75" t="inlineStr">
        <is>
          <t>Náklad zákazníka</t>
        </is>
      </c>
      <c r="J6" s="75" t="inlineStr">
        <is>
          <t>V registri</t>
        </is>
      </c>
    </row>
    <row r="7" ht="15" customHeight="1" s="54">
      <c r="B7" s="76" t="inlineStr">
        <is>
          <t>Slovenská sporiteľňa</t>
        </is>
      </c>
      <c r="C7" s="77" t="inlineStr">
        <is>
          <t>Spotrebný úver</t>
        </is>
      </c>
      <c r="D7" s="77" t="inlineStr">
        <is>
          <t>Banka</t>
        </is>
      </c>
      <c r="E7" s="78" t="n">
        <v>0.0699</v>
      </c>
      <c r="F7" s="78" t="n">
        <v>0</v>
      </c>
      <c r="G7" s="65">
        <f>308.73*$C$3/10000</f>
        <v/>
      </c>
      <c r="H7" s="65">
        <f>11114.11*$C$3/10000</f>
        <v/>
      </c>
      <c r="I7" s="79">
        <f>1114.11*$C$3/10000</f>
        <v/>
      </c>
      <c r="J7" s="80" t="inlineStr">
        <is>
          <t>ÁNO</t>
        </is>
      </c>
    </row>
    <row r="8" ht="15" customHeight="1" s="54">
      <c r="B8" s="81" t="inlineStr">
        <is>
          <t>Prima banka</t>
        </is>
      </c>
      <c r="C8" s="82" t="inlineStr">
        <is>
          <t>Pôžička</t>
        </is>
      </c>
      <c r="D8" s="82" t="inlineStr">
        <is>
          <t>Banka</t>
        </is>
      </c>
      <c r="E8" s="83" t="n">
        <v>0.059</v>
      </c>
      <c r="F8" s="83" t="n">
        <v>0.05</v>
      </c>
      <c r="G8" s="84">
        <f>303.77*$C$3/10000</f>
        <v/>
      </c>
      <c r="H8" s="84">
        <f>11435.59*$C$3/10000</f>
        <v/>
      </c>
      <c r="I8" s="85">
        <f>1435.59*$C$3/10000</f>
        <v/>
      </c>
      <c r="J8" s="86" t="inlineStr">
        <is>
          <t>ÁNO</t>
        </is>
      </c>
    </row>
    <row r="9" ht="15" customHeight="1" s="54">
      <c r="B9" s="76" t="inlineStr">
        <is>
          <t>Tatra banka</t>
        </is>
      </c>
      <c r="C9" s="77" t="inlineStr">
        <is>
          <t>Bezúčelový úver</t>
        </is>
      </c>
      <c r="D9" s="77" t="inlineStr">
        <is>
          <t>Banka</t>
        </is>
      </c>
      <c r="E9" s="78" t="n">
        <v>0.0649</v>
      </c>
      <c r="F9" s="78" t="n">
        <v>0.02</v>
      </c>
      <c r="G9" s="65">
        <f>306.44*$C$3/10000</f>
        <v/>
      </c>
      <c r="H9" s="65">
        <f>11232*$C$3/10000</f>
        <v/>
      </c>
      <c r="I9" s="79">
        <f>1232*$C$3/10000</f>
        <v/>
      </c>
      <c r="J9" s="80" t="inlineStr">
        <is>
          <t>ÁNO</t>
        </is>
      </c>
    </row>
    <row r="10" ht="15" customHeight="1" s="54">
      <c r="B10" s="81" t="inlineStr">
        <is>
          <t>365.bank</t>
        </is>
      </c>
      <c r="C10" s="82" t="inlineStr">
        <is>
          <t>Pôžička od 365</t>
        </is>
      </c>
      <c r="D10" s="82" t="inlineStr">
        <is>
          <t>Banka</t>
        </is>
      </c>
      <c r="E10" s="83" t="n">
        <v>0.06</v>
      </c>
      <c r="F10" s="83" t="n">
        <v>0.02</v>
      </c>
      <c r="G10" s="84">
        <f>304.22*$C$3/10000</f>
        <v/>
      </c>
      <c r="H10" s="84">
        <f>11151.9*$C$3/10000</f>
        <v/>
      </c>
      <c r="I10" s="85">
        <f>1151.9*$C$3/10000</f>
        <v/>
      </c>
      <c r="J10" s="86" t="inlineStr">
        <is>
          <t>ÁNO</t>
        </is>
      </c>
    </row>
    <row r="11" ht="15" customHeight="1" s="54">
      <c r="B11" s="76" t="inlineStr">
        <is>
          <t>mBank</t>
        </is>
      </c>
      <c r="C11" s="77" t="inlineStr">
        <is>
          <t>mPôžička Plus</t>
        </is>
      </c>
      <c r="D11" s="77" t="inlineStr">
        <is>
          <t>Banka</t>
        </is>
      </c>
      <c r="E11" s="78" t="n">
        <v>0.0689</v>
      </c>
      <c r="F11" s="78" t="n">
        <v>0.015</v>
      </c>
      <c r="G11" s="65">
        <f>308.27*$C$3/10000</f>
        <v/>
      </c>
      <c r="H11" s="65">
        <f>11247.66*$C$3/10000</f>
        <v/>
      </c>
      <c r="I11" s="79">
        <f>1247.66*$C$3/10000</f>
        <v/>
      </c>
      <c r="J11" s="80" t="inlineStr">
        <is>
          <t>ÁNO</t>
        </is>
      </c>
    </row>
    <row r="12" ht="15" customHeight="1" s="54">
      <c r="B12" s="81" t="inlineStr">
        <is>
          <t>Cetelem</t>
        </is>
      </c>
      <c r="C12" s="82" t="inlineStr">
        <is>
          <t>Cetelem pôžička</t>
        </is>
      </c>
      <c r="D12" s="82" t="inlineStr">
        <is>
          <t>Nebankovka</t>
        </is>
      </c>
      <c r="E12" s="83" t="n">
        <v>0.049</v>
      </c>
      <c r="F12" s="83" t="n">
        <v>0</v>
      </c>
      <c r="G12" s="84">
        <f>299.26*$C$3/10000</f>
        <v/>
      </c>
      <c r="H12" s="84">
        <f>10773.37*$C$3/10000</f>
        <v/>
      </c>
      <c r="I12" s="85">
        <f>773.37*$C$3/10000</f>
        <v/>
      </c>
      <c r="J12" s="86" t="inlineStr">
        <is>
          <t>ÁNO</t>
        </is>
      </c>
    </row>
    <row r="13" ht="15" customHeight="1" s="54">
      <c r="B13" s="76" t="inlineStr">
        <is>
          <t>Home Credit</t>
        </is>
      </c>
      <c r="C13" s="77" t="inlineStr">
        <is>
          <t>Online pôžička</t>
        </is>
      </c>
      <c r="D13" s="77" t="inlineStr">
        <is>
          <t>Nebankovka</t>
        </is>
      </c>
      <c r="E13" s="78" t="n">
        <v>0.19</v>
      </c>
      <c r="F13" s="78" t="n">
        <v>0</v>
      </c>
      <c r="G13" s="65">
        <f>366.56*$C$3/10000</f>
        <v/>
      </c>
      <c r="H13" s="65">
        <f>13196.17*$C$3/10000</f>
        <v/>
      </c>
      <c r="I13" s="79">
        <f>3196.17*$C$3/10000</f>
        <v/>
      </c>
      <c r="J13" s="80" t="inlineStr">
        <is>
          <t>ÁNO</t>
        </is>
      </c>
    </row>
    <row r="14" ht="15" customHeight="1" s="54">
      <c r="B14" s="87" t="inlineStr">
        <is>
          <t>🟢 Bonaship</t>
        </is>
      </c>
      <c r="C14" s="88" t="inlineStr">
        <is>
          <t>Spolufinancovanie</t>
        </is>
      </c>
      <c r="D14" s="88" t="inlineStr">
        <is>
          <t>Investor</t>
        </is>
      </c>
      <c r="E14" s="89" t="inlineStr">
        <is>
          <t>—</t>
        </is>
      </c>
      <c r="F14" s="89" t="inlineStr">
        <is>
          <t>—</t>
        </is>
      </c>
      <c r="G14" s="90" t="n">
        <v>0</v>
      </c>
      <c r="H14" s="91">
        <f>('Bonaship Model'!C6*(1+'Bonaship Model'!C10)^3)*'Bonaship Model'!C13+MIN('Bonaship Model'!C8*'Bonaship Model'!C17,'Bonaship Model'!C18)</f>
        <v/>
      </c>
      <c r="I14" s="92">
        <f>('Bonaship Model'!C6*(1+'Bonaship Model'!C10)^3)*'Bonaship Model'!C13+MIN('Bonaship Model'!C8*'Bonaship Model'!C17,'Bonaship Model'!C18)-'Bonaship Model'!C8</f>
        <v/>
      </c>
      <c r="J14" s="93" t="inlineStr">
        <is>
          <t>NIE</t>
        </is>
      </c>
    </row>
    <row r="15" ht="15" customHeight="1" s="54"/>
    <row r="16" ht="15" customHeight="1" s="54">
      <c r="B16" s="57" t="inlineStr">
        <is>
          <t>SPLATNOSŤ: 5 ROKOV</t>
        </is>
      </c>
      <c r="G16" s="94" t="n"/>
      <c r="H16" s="94" t="n"/>
      <c r="I16" s="95" t="n"/>
    </row>
    <row r="17" ht="26.25" customHeight="1" s="54">
      <c r="B17" s="75" t="inlineStr">
        <is>
          <t>Poskytovateľ</t>
        </is>
      </c>
      <c r="C17" s="75" t="inlineStr">
        <is>
          <t>Produkt</t>
        </is>
      </c>
      <c r="D17" s="75" t="inlineStr">
        <is>
          <t>Typ</t>
        </is>
      </c>
      <c r="E17" s="75" t="inlineStr">
        <is>
          <t>Úrok p.a.</t>
        </is>
      </c>
      <c r="F17" s="75" t="inlineStr">
        <is>
          <t>Poplatok</t>
        </is>
      </c>
      <c r="G17" s="75" t="inlineStr">
        <is>
          <t>Splátka/mes — zákazník</t>
        </is>
      </c>
      <c r="H17" s="75" t="inlineStr">
        <is>
          <t>Zákazník zaplatí celkom</t>
        </is>
      </c>
      <c r="I17" s="75" t="inlineStr">
        <is>
          <t>Náklad zákazníka</t>
        </is>
      </c>
      <c r="J17" s="75" t="inlineStr">
        <is>
          <t>V registri</t>
        </is>
      </c>
    </row>
    <row r="18" ht="15" customHeight="1" s="54">
      <c r="B18" s="81" t="inlineStr">
        <is>
          <t>Slovenská sporiteľňa</t>
        </is>
      </c>
      <c r="C18" s="82" t="inlineStr">
        <is>
          <t>Spotrebný úver</t>
        </is>
      </c>
      <c r="D18" s="82" t="inlineStr">
        <is>
          <t>Banka</t>
        </is>
      </c>
      <c r="E18" s="83" t="n">
        <v>0.0699</v>
      </c>
      <c r="F18" s="83" t="n">
        <v>0</v>
      </c>
      <c r="G18" s="84">
        <f>197.96*$C$3/10000</f>
        <v/>
      </c>
      <c r="H18" s="84">
        <f>11877.89*$C$3/10000</f>
        <v/>
      </c>
      <c r="I18" s="85">
        <f>1877.89*$C$3/10000</f>
        <v/>
      </c>
      <c r="J18" s="86" t="inlineStr">
        <is>
          <t>ÁNO</t>
        </is>
      </c>
    </row>
    <row r="19" ht="15" customHeight="1" s="54">
      <c r="B19" s="76" t="inlineStr">
        <is>
          <t>Prima banka</t>
        </is>
      </c>
      <c r="C19" s="77" t="inlineStr">
        <is>
          <t>Pôžička</t>
        </is>
      </c>
      <c r="D19" s="77" t="inlineStr">
        <is>
          <t>Banka</t>
        </is>
      </c>
      <c r="E19" s="78" t="n">
        <v>0.059</v>
      </c>
      <c r="F19" s="78" t="n">
        <v>0.05</v>
      </c>
      <c r="G19" s="65">
        <f>192.86*$C$3/10000</f>
        <v/>
      </c>
      <c r="H19" s="65">
        <f>12071.8*$C$3/10000</f>
        <v/>
      </c>
      <c r="I19" s="79">
        <f>2071.8*$C$3/10000</f>
        <v/>
      </c>
      <c r="J19" s="80" t="inlineStr">
        <is>
          <t>ÁNO</t>
        </is>
      </c>
    </row>
    <row r="20" ht="15" customHeight="1" s="54">
      <c r="B20" s="81" t="inlineStr">
        <is>
          <t>Tatra banka</t>
        </is>
      </c>
      <c r="C20" s="82" t="inlineStr">
        <is>
          <t>Bezúčelový úver</t>
        </is>
      </c>
      <c r="D20" s="82" t="inlineStr">
        <is>
          <t>Banka</t>
        </is>
      </c>
      <c r="E20" s="83" t="n">
        <v>0.0649</v>
      </c>
      <c r="F20" s="83" t="n">
        <v>0.02</v>
      </c>
      <c r="G20" s="84">
        <f>195.61*$C$3/10000</f>
        <v/>
      </c>
      <c r="H20" s="84">
        <f>11936.88*$C$3/10000</f>
        <v/>
      </c>
      <c r="I20" s="85">
        <f>1936.88*$C$3/10000</f>
        <v/>
      </c>
      <c r="J20" s="86" t="inlineStr">
        <is>
          <t>ÁNO</t>
        </is>
      </c>
    </row>
    <row r="21" ht="15" customHeight="1" s="54">
      <c r="B21" s="76" t="inlineStr">
        <is>
          <t>365.bank</t>
        </is>
      </c>
      <c r="C21" s="77" t="inlineStr">
        <is>
          <t>Pôžička od 365</t>
        </is>
      </c>
      <c r="D21" s="77" t="inlineStr">
        <is>
          <t>Banka</t>
        </is>
      </c>
      <c r="E21" s="78" t="n">
        <v>0.06</v>
      </c>
      <c r="F21" s="78" t="n">
        <v>0.02</v>
      </c>
      <c r="G21" s="65">
        <f>193.33*$C$3/10000</f>
        <v/>
      </c>
      <c r="H21" s="65">
        <f>11799.68*$C$3/10000</f>
        <v/>
      </c>
      <c r="I21" s="79">
        <f>1799.68*$C$3/10000</f>
        <v/>
      </c>
      <c r="J21" s="80" t="inlineStr">
        <is>
          <t>ÁNO</t>
        </is>
      </c>
    </row>
    <row r="22" ht="15" customHeight="1" s="54">
      <c r="B22" s="81" t="inlineStr">
        <is>
          <t>mBank</t>
        </is>
      </c>
      <c r="C22" s="82" t="inlineStr">
        <is>
          <t>mPôžička Plus</t>
        </is>
      </c>
      <c r="D22" s="82" t="inlineStr">
        <is>
          <t>Banka</t>
        </is>
      </c>
      <c r="E22" s="83" t="n">
        <v>0.0689</v>
      </c>
      <c r="F22" s="83" t="n">
        <v>0.015</v>
      </c>
      <c r="G22" s="84">
        <f>197.49*$C$3/10000</f>
        <v/>
      </c>
      <c r="H22" s="84">
        <f>11999.6*$C$3/10000</f>
        <v/>
      </c>
      <c r="I22" s="85">
        <f>1999.6*$C$3/10000</f>
        <v/>
      </c>
      <c r="J22" s="86" t="inlineStr">
        <is>
          <t>ÁNO</t>
        </is>
      </c>
    </row>
    <row r="23" ht="15" customHeight="1" s="54">
      <c r="B23" s="76" t="inlineStr">
        <is>
          <t>Cetelem</t>
        </is>
      </c>
      <c r="C23" s="77" t="inlineStr">
        <is>
          <t>Cetelem pôžička</t>
        </is>
      </c>
      <c r="D23" s="77" t="inlineStr">
        <is>
          <t>Nebankovka</t>
        </is>
      </c>
      <c r="E23" s="78" t="n">
        <v>0.049</v>
      </c>
      <c r="F23" s="78" t="n">
        <v>0</v>
      </c>
      <c r="G23" s="65">
        <f>188.25*$C$3/10000</f>
        <v/>
      </c>
      <c r="H23" s="65">
        <f>11295.27*$C$3/10000</f>
        <v/>
      </c>
      <c r="I23" s="79">
        <f>1295.27*$C$3/10000</f>
        <v/>
      </c>
      <c r="J23" s="80" t="inlineStr">
        <is>
          <t>ÁNO</t>
        </is>
      </c>
    </row>
    <row r="24" ht="15" customHeight="1" s="54">
      <c r="B24" s="81" t="inlineStr">
        <is>
          <t>Home Credit</t>
        </is>
      </c>
      <c r="C24" s="82" t="inlineStr">
        <is>
          <t>Online pôžička</t>
        </is>
      </c>
      <c r="D24" s="82" t="inlineStr">
        <is>
          <t>Nebankovka</t>
        </is>
      </c>
      <c r="E24" s="83" t="n">
        <v>0.19</v>
      </c>
      <c r="F24" s="83" t="n">
        <v>0</v>
      </c>
      <c r="G24" s="84">
        <f>259.41*$C$3/10000</f>
        <v/>
      </c>
      <c r="H24" s="84">
        <f>15564.33*$C$3/10000</f>
        <v/>
      </c>
      <c r="I24" s="85">
        <f>5564.33*$C$3/10000</f>
        <v/>
      </c>
      <c r="J24" s="86" t="inlineStr">
        <is>
          <t>ÁNO</t>
        </is>
      </c>
    </row>
    <row r="25" ht="15" customHeight="1" s="54">
      <c r="B25" s="87" t="inlineStr">
        <is>
          <t>🟢 Bonaship</t>
        </is>
      </c>
      <c r="C25" s="88" t="inlineStr">
        <is>
          <t>Spolufinancovanie</t>
        </is>
      </c>
      <c r="D25" s="88" t="inlineStr">
        <is>
          <t>Investor</t>
        </is>
      </c>
      <c r="E25" s="89" t="inlineStr">
        <is>
          <t>—</t>
        </is>
      </c>
      <c r="F25" s="89" t="inlineStr">
        <is>
          <t>—</t>
        </is>
      </c>
      <c r="G25" s="90" t="n">
        <v>0</v>
      </c>
      <c r="H25" s="91">
        <f>('Bonaship Model'!C6*(1+'Bonaship Model'!C10)^5)*'Bonaship Model'!C14+MIN('Bonaship Model'!C8*'Bonaship Model'!C17,'Bonaship Model'!C18)</f>
        <v/>
      </c>
      <c r="I25" s="92">
        <f>('Bonaship Model'!C6*(1+'Bonaship Model'!C10)^5)*'Bonaship Model'!C14+MIN('Bonaship Model'!C8*'Bonaship Model'!C17,'Bonaship Model'!C18)-'Bonaship Model'!C8</f>
        <v/>
      </c>
      <c r="J25" s="93" t="inlineStr">
        <is>
          <t>NIE</t>
        </is>
      </c>
    </row>
    <row r="26" ht="15" customHeight="1" s="54"/>
    <row r="27" ht="15" customHeight="1" s="54">
      <c r="B27" s="57" t="inlineStr">
        <is>
          <t>SPLATNOSŤ: 7 ROKOV</t>
        </is>
      </c>
      <c r="G27" s="94" t="n"/>
      <c r="H27" s="94" t="n"/>
      <c r="I27" s="95" t="n"/>
    </row>
    <row r="28" ht="26.25" customHeight="1" s="54">
      <c r="B28" s="75" t="inlineStr">
        <is>
          <t>Poskytovateľ</t>
        </is>
      </c>
      <c r="C28" s="75" t="inlineStr">
        <is>
          <t>Produkt</t>
        </is>
      </c>
      <c r="D28" s="75" t="inlineStr">
        <is>
          <t>Typ</t>
        </is>
      </c>
      <c r="E28" s="75" t="inlineStr">
        <is>
          <t>Úrok p.a.</t>
        </is>
      </c>
      <c r="F28" s="75" t="inlineStr">
        <is>
          <t>Poplatok</t>
        </is>
      </c>
      <c r="G28" s="75" t="inlineStr">
        <is>
          <t>Splátka/mes — zákazník</t>
        </is>
      </c>
      <c r="H28" s="75" t="inlineStr">
        <is>
          <t>Zákazník zaplatí celkom</t>
        </is>
      </c>
      <c r="I28" s="75" t="inlineStr">
        <is>
          <t>Náklad zákazníka</t>
        </is>
      </c>
      <c r="J28" s="75" t="inlineStr">
        <is>
          <t>V registri</t>
        </is>
      </c>
    </row>
    <row r="29" ht="15" customHeight="1" s="54">
      <c r="B29" s="76" t="inlineStr">
        <is>
          <t>Slovenská sporiteľňa</t>
        </is>
      </c>
      <c r="C29" s="77" t="inlineStr">
        <is>
          <t>Spotrebný úver</t>
        </is>
      </c>
      <c r="D29" s="77" t="inlineStr">
        <is>
          <t>Banka</t>
        </is>
      </c>
      <c r="E29" s="78" t="n">
        <v>0.0699</v>
      </c>
      <c r="F29" s="78" t="n">
        <v>0</v>
      </c>
      <c r="G29" s="65">
        <f>150.88*$C$3/10000</f>
        <v/>
      </c>
      <c r="H29" s="65">
        <f>12673.75*$C$3/10000</f>
        <v/>
      </c>
      <c r="I29" s="79">
        <f>2673.75*$C$3/10000</f>
        <v/>
      </c>
      <c r="J29" s="80" t="inlineStr">
        <is>
          <t>ÁNO</t>
        </is>
      </c>
    </row>
    <row r="30" ht="15" customHeight="1" s="54">
      <c r="B30" s="81" t="inlineStr">
        <is>
          <t>Prima banka</t>
        </is>
      </c>
      <c r="C30" s="82" t="inlineStr">
        <is>
          <t>Pôžička</t>
        </is>
      </c>
      <c r="D30" s="82" t="inlineStr">
        <is>
          <t>Banka</t>
        </is>
      </c>
      <c r="E30" s="83" t="n">
        <v>0.059</v>
      </c>
      <c r="F30" s="83" t="n">
        <v>0.05</v>
      </c>
      <c r="G30" s="84">
        <f>145.61*$C$3/10000</f>
        <v/>
      </c>
      <c r="H30" s="84">
        <f>12730.96*$C$3/10000</f>
        <v/>
      </c>
      <c r="I30" s="85">
        <f>2730.96*$C$3/10000</f>
        <v/>
      </c>
      <c r="J30" s="86" t="inlineStr">
        <is>
          <t>ÁNO</t>
        </is>
      </c>
    </row>
    <row r="31" ht="15" customHeight="1" s="54">
      <c r="B31" s="76" t="inlineStr">
        <is>
          <t>Tatra banka</t>
        </is>
      </c>
      <c r="C31" s="77" t="inlineStr">
        <is>
          <t>Bezúčelový úver</t>
        </is>
      </c>
      <c r="D31" s="77" t="inlineStr">
        <is>
          <t>Banka</t>
        </is>
      </c>
      <c r="E31" s="78" t="n">
        <v>0.0649</v>
      </c>
      <c r="F31" s="78" t="n">
        <v>0.02</v>
      </c>
      <c r="G31" s="65">
        <f>148.45*$C$3/10000</f>
        <v/>
      </c>
      <c r="H31" s="65">
        <f>12669.46*$C$3/10000</f>
        <v/>
      </c>
      <c r="I31" s="79">
        <f>2669.46*$C$3/10000</f>
        <v/>
      </c>
      <c r="J31" s="80" t="inlineStr">
        <is>
          <t>ÁNO</t>
        </is>
      </c>
    </row>
    <row r="32" ht="15" customHeight="1" s="54">
      <c r="B32" s="81" t="inlineStr">
        <is>
          <t>365.bank</t>
        </is>
      </c>
      <c r="C32" s="82" t="inlineStr">
        <is>
          <t>Pôžička od 365</t>
        </is>
      </c>
      <c r="D32" s="82" t="inlineStr">
        <is>
          <t>Banka</t>
        </is>
      </c>
      <c r="E32" s="83" t="n">
        <v>0.06</v>
      </c>
      <c r="F32" s="83" t="n">
        <v>0.02</v>
      </c>
      <c r="G32" s="84">
        <f>146.09*$C$3/10000</f>
        <v/>
      </c>
      <c r="H32" s="84">
        <f>12471.19*$C$3/10000</f>
        <v/>
      </c>
      <c r="I32" s="85">
        <f>2471.19*$C$3/10000</f>
        <v/>
      </c>
      <c r="J32" s="86" t="inlineStr">
        <is>
          <t>ÁNO</t>
        </is>
      </c>
    </row>
    <row r="33" ht="15" customHeight="1" s="54">
      <c r="B33" s="76" t="inlineStr">
        <is>
          <t>mBank</t>
        </is>
      </c>
      <c r="C33" s="77" t="inlineStr">
        <is>
          <t>mPôžička Plus</t>
        </is>
      </c>
      <c r="D33" s="77" t="inlineStr">
        <is>
          <t>Banka</t>
        </is>
      </c>
      <c r="E33" s="78" t="n">
        <v>0.0689</v>
      </c>
      <c r="F33" s="78" t="n">
        <v>0.015</v>
      </c>
      <c r="G33" s="65">
        <f>150.39*$C$3/10000</f>
        <v/>
      </c>
      <c r="H33" s="65">
        <f>12782.73*$C$3/10000</f>
        <v/>
      </c>
      <c r="I33" s="79">
        <f>2782.73*$C$3/10000</f>
        <v/>
      </c>
      <c r="J33" s="80" t="inlineStr">
        <is>
          <t>ÁNO</t>
        </is>
      </c>
    </row>
    <row r="34" ht="15" customHeight="1" s="54">
      <c r="B34" s="81" t="inlineStr">
        <is>
          <t>Cetelem</t>
        </is>
      </c>
      <c r="C34" s="82" t="inlineStr">
        <is>
          <t>Cetelem pôžička</t>
        </is>
      </c>
      <c r="D34" s="82" t="inlineStr">
        <is>
          <t>Nebankovka</t>
        </is>
      </c>
      <c r="E34" s="83" t="n">
        <v>0.049</v>
      </c>
      <c r="F34" s="83" t="n">
        <v>0</v>
      </c>
      <c r="G34" s="84">
        <f>140.87*$C$3/10000</f>
        <v/>
      </c>
      <c r="H34" s="84">
        <f>11833.05*$C$3/10000</f>
        <v/>
      </c>
      <c r="I34" s="85">
        <f>1833.05*$C$3/10000</f>
        <v/>
      </c>
      <c r="J34" s="86" t="inlineStr">
        <is>
          <t>ÁNO</t>
        </is>
      </c>
    </row>
    <row r="35" ht="15" customHeight="1" s="54">
      <c r="B35" s="76" t="inlineStr">
        <is>
          <t>Home Credit</t>
        </is>
      </c>
      <c r="C35" s="77" t="inlineStr">
        <is>
          <t>Online pôžička</t>
        </is>
      </c>
      <c r="D35" s="77" t="inlineStr">
        <is>
          <t>Nebankovka</t>
        </is>
      </c>
      <c r="E35" s="78" t="n">
        <v>0.19</v>
      </c>
      <c r="F35" s="78" t="n">
        <v>0</v>
      </c>
      <c r="G35" s="65">
        <f>216.08*$C$3/10000</f>
        <v/>
      </c>
      <c r="H35" s="65">
        <f>18150.74*$C$3/10000</f>
        <v/>
      </c>
      <c r="I35" s="79">
        <f>8150.74*$C$3/10000</f>
        <v/>
      </c>
      <c r="J35" s="80" t="inlineStr">
        <is>
          <t>ÁNO</t>
        </is>
      </c>
    </row>
    <row r="36" ht="15" customHeight="1" s="54">
      <c r="B36" s="87" t="inlineStr">
        <is>
          <t>🟢 Bonaship</t>
        </is>
      </c>
      <c r="C36" s="88" t="inlineStr">
        <is>
          <t>Spolufinancovanie</t>
        </is>
      </c>
      <c r="D36" s="88" t="inlineStr">
        <is>
          <t>Investor</t>
        </is>
      </c>
      <c r="E36" s="89" t="inlineStr">
        <is>
          <t>—</t>
        </is>
      </c>
      <c r="F36" s="89" t="inlineStr">
        <is>
          <t>—</t>
        </is>
      </c>
      <c r="G36" s="90" t="n">
        <v>0</v>
      </c>
      <c r="H36" s="91">
        <f>('Bonaship Model'!C6*(1+'Bonaship Model'!C10)^7)*'Bonaship Model'!C15+MIN('Bonaship Model'!C8*'Bonaship Model'!C17,'Bonaship Model'!C18)</f>
        <v/>
      </c>
      <c r="I36" s="92">
        <f>('Bonaship Model'!C6*(1+'Bonaship Model'!C10)^7)*'Bonaship Model'!C15+MIN('Bonaship Model'!C8*'Bonaship Model'!C17,'Bonaship Model'!C18)-'Bonaship Model'!C8</f>
        <v/>
      </c>
      <c r="J36" s="93" t="inlineStr">
        <is>
          <t>NIE</t>
        </is>
      </c>
    </row>
    <row r="37" ht="15" customHeight="1" s="54"/>
    <row r="38" ht="15" customHeight="1" s="54">
      <c r="B38" s="57" t="inlineStr">
        <is>
          <t>SPLATNOSŤ: 10 ROKOV</t>
        </is>
      </c>
      <c r="G38" s="94" t="n"/>
      <c r="H38" s="94" t="n"/>
      <c r="I38" s="95" t="n"/>
    </row>
    <row r="39" ht="26.25" customHeight="1" s="54">
      <c r="B39" s="75" t="inlineStr">
        <is>
          <t>Poskytovateľ</t>
        </is>
      </c>
      <c r="C39" s="75" t="inlineStr">
        <is>
          <t>Produkt</t>
        </is>
      </c>
      <c r="D39" s="75" t="inlineStr">
        <is>
          <t>Typ</t>
        </is>
      </c>
      <c r="E39" s="75" t="inlineStr">
        <is>
          <t>Úrok p.a.</t>
        </is>
      </c>
      <c r="F39" s="75" t="inlineStr">
        <is>
          <t>Poplatok</t>
        </is>
      </c>
      <c r="G39" s="75" t="inlineStr">
        <is>
          <t>Splátka/mes — zákazník</t>
        </is>
      </c>
      <c r="H39" s="75" t="inlineStr">
        <is>
          <t>Zákazník zaplatí celkom</t>
        </is>
      </c>
      <c r="I39" s="75" t="inlineStr">
        <is>
          <t>Náklad zákazníka</t>
        </is>
      </c>
      <c r="J39" s="75" t="inlineStr">
        <is>
          <t>V registri</t>
        </is>
      </c>
    </row>
    <row r="40" ht="15" customHeight="1" s="54">
      <c r="B40" s="81" t="inlineStr">
        <is>
          <t>Slovenská sporiteľňa</t>
        </is>
      </c>
      <c r="C40" s="82" t="inlineStr">
        <is>
          <t>Spotrebný úver</t>
        </is>
      </c>
      <c r="D40" s="82" t="inlineStr">
        <is>
          <t>Banka</t>
        </is>
      </c>
      <c r="E40" s="83" t="n">
        <v>0.0699</v>
      </c>
      <c r="F40" s="83" t="n">
        <v>0</v>
      </c>
      <c r="G40" s="84">
        <f>116.06*$C$3/10000</f>
        <v/>
      </c>
      <c r="H40" s="84">
        <f>13926.83*$C$3/10000</f>
        <v/>
      </c>
      <c r="I40" s="85">
        <f>3926.83*$C$3/10000</f>
        <v/>
      </c>
      <c r="J40" s="86" t="inlineStr">
        <is>
          <t>ÁNO</t>
        </is>
      </c>
    </row>
    <row r="41" ht="15" customHeight="1" s="54">
      <c r="B41" s="76" t="inlineStr">
        <is>
          <t>Prima banka</t>
        </is>
      </c>
      <c r="C41" s="77" t="inlineStr">
        <is>
          <t>Pôžička</t>
        </is>
      </c>
      <c r="D41" s="77" t="inlineStr">
        <is>
          <t>Banka</t>
        </is>
      </c>
      <c r="E41" s="78" t="n">
        <v>0.059</v>
      </c>
      <c r="F41" s="78" t="n">
        <v>0.05</v>
      </c>
      <c r="G41" s="65">
        <f>110.52*$C$3/10000</f>
        <v/>
      </c>
      <c r="H41" s="65">
        <f>13762.28*$C$3/10000</f>
        <v/>
      </c>
      <c r="I41" s="79">
        <f>3762.28*$C$3/10000</f>
        <v/>
      </c>
      <c r="J41" s="80" t="inlineStr">
        <is>
          <t>ÁNO</t>
        </is>
      </c>
    </row>
    <row r="42" ht="15" customHeight="1" s="54">
      <c r="B42" s="81" t="inlineStr">
        <is>
          <t>Tatra banka</t>
        </is>
      </c>
      <c r="C42" s="82" t="inlineStr">
        <is>
          <t>Bezúčelový úver</t>
        </is>
      </c>
      <c r="D42" s="82" t="inlineStr">
        <is>
          <t>Banka</t>
        </is>
      </c>
      <c r="E42" s="83" t="n">
        <v>0.0649</v>
      </c>
      <c r="F42" s="83" t="n">
        <v>0.02</v>
      </c>
      <c r="G42" s="84">
        <f>113.5*$C$3/10000</f>
        <v/>
      </c>
      <c r="H42" s="84">
        <f>13819.65*$C$3/10000</f>
        <v/>
      </c>
      <c r="I42" s="85">
        <f>3819.65*$C$3/10000</f>
        <v/>
      </c>
      <c r="J42" s="86" t="inlineStr">
        <is>
          <t>ÁNO</t>
        </is>
      </c>
    </row>
    <row r="43" ht="15" customHeight="1" s="54">
      <c r="B43" s="76" t="inlineStr">
        <is>
          <t>365.bank</t>
        </is>
      </c>
      <c r="C43" s="77" t="inlineStr">
        <is>
          <t>Pôžička od 365</t>
        </is>
      </c>
      <c r="D43" s="77" t="inlineStr">
        <is>
          <t>Banka</t>
        </is>
      </c>
      <c r="E43" s="78" t="n">
        <v>0.06</v>
      </c>
      <c r="F43" s="78" t="n">
        <v>0.02</v>
      </c>
      <c r="G43" s="65">
        <f>111.02*$C$3/10000</f>
        <v/>
      </c>
      <c r="H43" s="65">
        <f>13522.46*$C$3/10000</f>
        <v/>
      </c>
      <c r="I43" s="79">
        <f>3522.46*$C$3/10000</f>
        <v/>
      </c>
      <c r="J43" s="80" t="inlineStr">
        <is>
          <t>ÁNO</t>
        </is>
      </c>
    </row>
    <row r="44" ht="15" customHeight="1" s="54">
      <c r="B44" s="81" t="inlineStr">
        <is>
          <t>mBank</t>
        </is>
      </c>
      <c r="C44" s="82" t="inlineStr">
        <is>
          <t>mPôžička Plus</t>
        </is>
      </c>
      <c r="D44" s="82" t="inlineStr">
        <is>
          <t>Banka</t>
        </is>
      </c>
      <c r="E44" s="83" t="n">
        <v>0.0689</v>
      </c>
      <c r="F44" s="83" t="n">
        <v>0.015</v>
      </c>
      <c r="G44" s="84">
        <f>115.54*$C$3/10000</f>
        <v/>
      </c>
      <c r="H44" s="84">
        <f>14015.08*$C$3/10000</f>
        <v/>
      </c>
      <c r="I44" s="85">
        <f>4015.08*$C$3/10000</f>
        <v/>
      </c>
      <c r="J44" s="86" t="inlineStr">
        <is>
          <t>ÁNO</t>
        </is>
      </c>
    </row>
    <row r="45" ht="15" customHeight="1" s="54">
      <c r="B45" s="76" t="inlineStr">
        <is>
          <t>Cetelem</t>
        </is>
      </c>
      <c r="C45" s="77" t="inlineStr">
        <is>
          <t>Cetelem pôžička</t>
        </is>
      </c>
      <c r="D45" s="77" t="inlineStr">
        <is>
          <t>Nebankovka</t>
        </is>
      </c>
      <c r="E45" s="78" t="n">
        <v>0.049</v>
      </c>
      <c r="F45" s="78" t="n">
        <v>0</v>
      </c>
      <c r="G45" s="65">
        <f>105.58*$C$3/10000</f>
        <v/>
      </c>
      <c r="H45" s="65">
        <f>12669.29*$C$3/10000</f>
        <v/>
      </c>
      <c r="I45" s="79">
        <f>2669.29*$C$3/10000</f>
        <v/>
      </c>
      <c r="J45" s="80" t="inlineStr">
        <is>
          <t>ÁNO</t>
        </is>
      </c>
    </row>
    <row r="46" ht="15" customHeight="1" s="54">
      <c r="B46" s="81" t="inlineStr">
        <is>
          <t>Home Credit</t>
        </is>
      </c>
      <c r="C46" s="82" t="inlineStr">
        <is>
          <t>Online pôžička</t>
        </is>
      </c>
      <c r="D46" s="82" t="inlineStr">
        <is>
          <t>Nebankovka</t>
        </is>
      </c>
      <c r="E46" s="83" t="n">
        <v>0.19</v>
      </c>
      <c r="F46" s="83" t="n">
        <v>0</v>
      </c>
      <c r="G46" s="84">
        <f>186.67*$C$3/10000</f>
        <v/>
      </c>
      <c r="H46" s="84">
        <f>22400.68*$C$3/10000</f>
        <v/>
      </c>
      <c r="I46" s="85">
        <f>12400.68*$C$3/10000</f>
        <v/>
      </c>
      <c r="J46" s="86" t="inlineStr">
        <is>
          <t>ÁNO</t>
        </is>
      </c>
    </row>
    <row r="47" ht="15" customHeight="1" s="54">
      <c r="B47" s="87" t="inlineStr">
        <is>
          <t>🟢 Bonaship</t>
        </is>
      </c>
      <c r="C47" s="88" t="inlineStr">
        <is>
          <t>Spolufinancovanie</t>
        </is>
      </c>
      <c r="D47" s="88" t="inlineStr">
        <is>
          <t>Investor</t>
        </is>
      </c>
      <c r="E47" s="89" t="inlineStr">
        <is>
          <t>—</t>
        </is>
      </c>
      <c r="F47" s="89" t="inlineStr">
        <is>
          <t>—</t>
        </is>
      </c>
      <c r="G47" s="90" t="n">
        <v>0</v>
      </c>
      <c r="H47" s="91">
        <f>('Bonaship Model'!C6*(1+'Bonaship Model'!C10)^10)*'Bonaship Model'!C15+MIN('Bonaship Model'!C8*'Bonaship Model'!C17,'Bonaship Model'!C18)</f>
        <v/>
      </c>
      <c r="I47" s="92">
        <f>('Bonaship Model'!C6*(1+'Bonaship Model'!C10)^10)*'Bonaship Model'!C15+MIN('Bonaship Model'!C8*'Bonaship Model'!C17,'Bonaship Model'!C18)-'Bonaship Model'!C8</f>
        <v/>
      </c>
      <c r="J47" s="93" t="inlineStr">
        <is>
          <t>NIE</t>
        </is>
      </c>
    </row>
  </sheetData>
  <mergeCells count="1"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5"/>
  <sheetViews>
    <sheetView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54" min="1" max="1"/>
    <col width="32" customWidth="1" style="54" min="2" max="2"/>
    <col width="20" customWidth="1" style="54" min="3" max="3"/>
    <col width="20" customWidth="1" style="54" min="4" max="4"/>
    <col width="18" customWidth="1" style="54" min="5" max="5"/>
    <col width="20" customWidth="1" style="54" min="6" max="6"/>
    <col width="26" customWidth="1" style="54" min="7" max="7"/>
  </cols>
  <sheetData>
    <row r="2" ht="32" customHeight="1" s="54">
      <c r="B2" s="114" t="inlineStr">
        <is>
          <t>PREČO BONASHIP? — Výhody pre zákazníka</t>
        </is>
      </c>
    </row>
    <row r="3" ht="18" customHeight="1" s="54">
      <c r="B3" s="115" t="inlineStr">
        <is>
          <t>Požadovaná suma:</t>
        </is>
      </c>
      <c r="C3" s="116">
        <f>'Bonaship Model'!C8</f>
        <v/>
      </c>
      <c r="D3" s="115" t="inlineStr">
        <is>
          <t>Horizont:</t>
        </is>
      </c>
      <c r="E3" s="117">
        <f>'Bonaship Model'!C9&amp;" rokov"</f>
        <v/>
      </c>
      <c r="F3" s="115" t="inlineStr">
        <is>
          <t>Nehnuteľnosť:</t>
        </is>
      </c>
      <c r="G3" s="116">
        <f>'Bonaship Model'!C6</f>
        <v/>
      </c>
    </row>
    <row r="4" ht="8" customHeight="1" s="54"/>
    <row r="5" ht="22" customHeight="1" s="54">
      <c r="B5" s="100" t="inlineStr">
        <is>
          <t>① NULA MESAČNÝCH SPLÁTOK — CASHFLOW SLOBODA</t>
        </is>
      </c>
    </row>
    <row r="6" ht="16" customHeight="1" s="54">
      <c r="B6" s="118" t="inlineStr">
        <is>
          <t>Splatnosť</t>
        </is>
      </c>
      <c r="C6" s="119" t="inlineStr">
        <is>
          <t>Mes. splátka — Cetelem*</t>
        </is>
      </c>
      <c r="D6" s="119" t="inlineStr">
        <is>
          <t>Bonaship — mesačne</t>
        </is>
      </c>
      <c r="E6" s="119" t="inlineStr">
        <is>
          <t>Úspora / mesiac</t>
        </is>
      </c>
      <c r="F6" s="119" t="inlineStr">
        <is>
          <t>Suma ušetrená za celé obdobie</t>
        </is>
      </c>
    </row>
    <row r="7" ht="18" customHeight="1" s="54">
      <c r="B7" s="101" t="inlineStr">
        <is>
          <t>3 roky</t>
        </is>
      </c>
      <c r="C7" s="120">
        <f>'Porovnanie s úvermi'!G12</f>
        <v/>
      </c>
      <c r="D7" s="121" t="n">
        <v>0</v>
      </c>
      <c r="E7" s="122">
        <f>C7-D7</f>
        <v/>
      </c>
      <c r="F7" s="123">
        <f>E7*36</f>
        <v/>
      </c>
    </row>
    <row r="8" ht="18" customHeight="1" s="54">
      <c r="B8" s="101" t="inlineStr">
        <is>
          <t>5 rokov</t>
        </is>
      </c>
      <c r="C8" s="120">
        <f>'Porovnanie s úvermi'!G23</f>
        <v/>
      </c>
      <c r="D8" s="121" t="n">
        <v>0</v>
      </c>
      <c r="E8" s="122">
        <f>C8-D8</f>
        <v/>
      </c>
      <c r="F8" s="123">
        <f>E8*60</f>
        <v/>
      </c>
    </row>
    <row r="9" ht="18" customHeight="1" s="54">
      <c r="B9" s="101" t="inlineStr">
        <is>
          <t>7 rokov</t>
        </is>
      </c>
      <c r="C9" s="120">
        <f>'Porovnanie s úvermi'!G34</f>
        <v/>
      </c>
      <c r="D9" s="121" t="n">
        <v>0</v>
      </c>
      <c r="E9" s="122">
        <f>C9-D9</f>
        <v/>
      </c>
      <c r="F9" s="123">
        <f>E9*84</f>
        <v/>
      </c>
    </row>
    <row r="10" ht="18" customHeight="1" s="54">
      <c r="B10" s="101" t="inlineStr">
        <is>
          <t>10 rokov</t>
        </is>
      </c>
      <c r="C10" s="120">
        <f>'Porovnanie s úvermi'!G45</f>
        <v/>
      </c>
      <c r="D10" s="121" t="n">
        <v>0</v>
      </c>
      <c r="E10" s="122">
        <f>C10-D10</f>
        <v/>
      </c>
      <c r="F10" s="123">
        <f>E10*120</f>
        <v/>
      </c>
    </row>
    <row r="11" ht="14" customHeight="1" s="54">
      <c r="B11" s="124" t="inlineStr">
        <is>
          <t>*Cetelem – najlacnejší úver na trhu (nebankovka). Bankové inštitúcie = ešte vyššie splátky.</t>
        </is>
      </c>
    </row>
    <row r="12" ht="8" customHeight="1" s="54"/>
    <row r="13" ht="22" customHeight="1" s="54">
      <c r="B13" s="100" t="inlineStr">
        <is>
          <t>② CELKOVÉ NÁKLADY FINANCOVANIA</t>
        </is>
      </c>
    </row>
    <row r="14" ht="16" customHeight="1" s="54">
      <c r="B14" s="118" t="inlineStr">
        <is>
          <t>Splatnosť</t>
        </is>
      </c>
      <c r="C14" s="119" t="inlineStr">
        <is>
          <t>Náklad (Cetelem)</t>
        </is>
      </c>
      <c r="D14" s="119" t="inlineStr">
        <is>
          <t>Bonaship náklad</t>
        </is>
      </c>
      <c r="E14" s="119" t="inlineStr">
        <is>
          <t>Rozdiel</t>
        </is>
      </c>
      <c r="F14" s="125" t="inlineStr">
        <is>
          <t>Záver</t>
        </is>
      </c>
    </row>
    <row r="15" ht="18" customHeight="1" s="54">
      <c r="B15" s="101" t="inlineStr">
        <is>
          <t>3 roky</t>
        </is>
      </c>
      <c r="C15" s="126">
        <f>'Porovnanie s úvermi'!I12</f>
        <v/>
      </c>
      <c r="D15" s="126">
        <f>('Bonaship Model'!C6*(1+'Bonaship Model'!C10)^3)*'Bonaship Model'!C13+MIN('Bonaship Model'!C8*'Bonaship Model'!C17,'Bonaship Model'!C18)-'Bonaship Model'!C8</f>
        <v/>
      </c>
      <c r="E15" s="127">
        <f>D15-C15</f>
        <v/>
      </c>
      <c r="F15" s="128">
        <f>IF(D15&lt;C15,"✅ Bonaship lacnejší","⚠️ Bonaship drahší o "&amp;TEXT(D15-C15,"#,##0 €"))</f>
        <v/>
      </c>
    </row>
    <row r="16" ht="18" customHeight="1" s="54">
      <c r="B16" s="101" t="inlineStr">
        <is>
          <t>5 rokov</t>
        </is>
      </c>
      <c r="C16" s="126">
        <f>'Porovnanie s úvermi'!I23</f>
        <v/>
      </c>
      <c r="D16" s="126">
        <f>('Bonaship Model'!C6*(1+'Bonaship Model'!C10)^5)*'Bonaship Model'!C14+MIN('Bonaship Model'!C8*'Bonaship Model'!C17,'Bonaship Model'!C18)-'Bonaship Model'!C8</f>
        <v/>
      </c>
      <c r="E16" s="127">
        <f>D16-C16</f>
        <v/>
      </c>
      <c r="F16" s="128">
        <f>IF(D16&lt;C16,"✅ Bonaship lacnejší","⚠️ Bonaship drahší o "&amp;TEXT(D16-C16,"#,##0 €"))</f>
        <v/>
      </c>
    </row>
    <row r="17" ht="18" customHeight="1" s="54">
      <c r="B17" s="101" t="inlineStr">
        <is>
          <t>7 rokov</t>
        </is>
      </c>
      <c r="C17" s="126">
        <f>'Porovnanie s úvermi'!I34</f>
        <v/>
      </c>
      <c r="D17" s="126">
        <f>('Bonaship Model'!C6*(1+'Bonaship Model'!C10)^7)*'Bonaship Model'!C15+MIN('Bonaship Model'!C8*'Bonaship Model'!C17,'Bonaship Model'!C18)-'Bonaship Model'!C8</f>
        <v/>
      </c>
      <c r="E17" s="127">
        <f>D17-C17</f>
        <v/>
      </c>
      <c r="F17" s="128">
        <f>IF(D17&lt;C17,"✅ Bonaship lacnejší","⚠️ Bonaship drahší o "&amp;TEXT(D17-C17,"#,##0 €"))</f>
        <v/>
      </c>
    </row>
    <row r="18" ht="18" customHeight="1" s="54">
      <c r="B18" s="101" t="inlineStr">
        <is>
          <t>10 rokov</t>
        </is>
      </c>
      <c r="C18" s="126">
        <f>'Porovnanie s úvermi'!I45</f>
        <v/>
      </c>
      <c r="D18" s="126">
        <f>('Bonaship Model'!C6*(1+'Bonaship Model'!C10)^10)*'Bonaship Model'!C15+MIN('Bonaship Model'!C8*'Bonaship Model'!C17,'Bonaship Model'!C18)-'Bonaship Model'!C8</f>
        <v/>
      </c>
      <c r="E18" s="127">
        <f>D18-C18</f>
        <v/>
      </c>
      <c r="F18" s="128">
        <f>IF(D18&lt;C18,"✅ Bonaship lacnejší","⚠️ Bonaship drahší o "&amp;TEXT(D18-C18,"#,##0 €"))</f>
        <v/>
      </c>
    </row>
    <row r="19" ht="28" customHeight="1" s="54">
      <c r="B19" s="129" t="inlineStr">
        <is>
          <t>📌 Bonaship náklad = poplatok + podiel z predajnej ceny − investovaná suma. Bonaship je drahší v absolútnom vyjadrení, ale zákazník má 0 mesačné splátky a celú sumu okamžite k dispozícii bez nutnosti splácania.</t>
        </is>
      </c>
    </row>
    <row r="20" ht="8" customHeight="1" s="54"/>
    <row r="21" ht="22" customHeight="1" s="54">
      <c r="B21" s="100" t="inlineStr">
        <is>
          <t>③ ČISTÁ MAJETKOVÁ POZÍCIA PRI PREDAJI — horizont podľa Model sheetu</t>
        </is>
      </c>
    </row>
    <row r="22" ht="16" customHeight="1" s="54">
      <c r="B22" s="140" t="inlineStr">
        <is>
          <t>Položka</t>
        </is>
      </c>
      <c r="C22" s="141" t="inlineStr">
        <is>
          <t>Bonaship</t>
        </is>
      </c>
      <c r="D22" s="141" t="inlineStr">
        <is>
          <t>Bankový úver (Cetelem)</t>
        </is>
      </c>
      <c r="E22" s="141" t="inlineStr">
        <is>
          <t>Rozdiel</t>
        </is>
      </c>
    </row>
    <row r="23" ht="18" customHeight="1" s="54">
      <c r="B23" s="142" t="inlineStr">
        <is>
          <t>Predajná cena bytu (budúca hodnota)</t>
        </is>
      </c>
      <c r="C23" s="143">
        <f>'Bonaship Model'!C21</f>
        <v/>
      </c>
      <c r="D23" s="143">
        <f>'Bonaship Model'!C21</f>
        <v/>
      </c>
      <c r="E23" s="144">
        <f>C23-D23</f>
        <v/>
      </c>
    </row>
    <row r="24" ht="18" customHeight="1" s="54">
      <c r="B24" s="142" t="inlineStr">
        <is>
          <t>− Zostatok hypotéky pri exite</t>
        </is>
      </c>
      <c r="C24" s="143">
        <f>-'Bonaship Model'!C49</f>
        <v/>
      </c>
      <c r="D24" s="143">
        <f>-'Bonaship Model'!C49</f>
        <v/>
      </c>
      <c r="E24" s="144">
        <f>C24-D24</f>
        <v/>
      </c>
    </row>
    <row r="25" ht="18" customHeight="1" s="54">
      <c r="B25" s="142" t="inlineStr">
        <is>
          <t>− Bonaship payout (deducted from sale)</t>
        </is>
      </c>
      <c r="C25" s="143">
        <f>-'Bonaship Model'!C29</f>
        <v/>
      </c>
      <c r="D25" s="145">
        <f>0</f>
        <v/>
      </c>
      <c r="E25" s="144">
        <f>C25-D25</f>
        <v/>
      </c>
    </row>
    <row r="26" ht="20" customHeight="1" s="54">
      <c r="B26" s="146">
        <f> Čistý výnos z predaja bytu</f>
        <v/>
      </c>
      <c r="C26" s="147">
        <f>C23+C24+C25</f>
        <v/>
      </c>
      <c r="D26" s="147">
        <f>D23+D24+D25</f>
        <v/>
      </c>
      <c r="E26" s="148">
        <f>C26-D26</f>
        <v/>
      </c>
    </row>
    <row r="27" ht="20" customHeight="1" s="54">
      <c r="B27" s="149" t="inlineStr">
        <is>
          <t>Splátky uhradené mesačne počas doby (z vrecka zákazníka)</t>
        </is>
      </c>
      <c r="C27" s="145">
        <f>0</f>
        <v/>
      </c>
      <c r="D27" s="150">
        <f>-IF('Bonaship Model'!C9&lt;=3,'Porovnanie s úvermi'!H12,IF('Bonaship Model'!C9&lt;=6,'Porovnanie s úvermi'!H23,IF('Bonaship Model'!C9&lt;=7,'Porovnanie s úvermi'!H34,'Porovnanie s úvermi'!H45)))</f>
        <v/>
      </c>
      <c r="E27" s="151">
        <f>C27-D27</f>
        <v/>
      </c>
    </row>
    <row r="28" ht="24" customHeight="1" s="54">
      <c r="B28" s="152">
        <f> CELKOVÁ MAJETKOVÁ POZÍCIA</f>
        <v/>
      </c>
      <c r="C28" s="153">
        <f>C26+C27</f>
        <v/>
      </c>
      <c r="D28" s="153">
        <f>D26+D27</f>
        <v/>
      </c>
      <c r="E28" s="154">
        <f>C28-D28</f>
        <v/>
      </c>
    </row>
    <row r="29" ht="28" customHeight="1" s="54">
      <c r="B29" s="155" t="inlineStr">
        <is>
          <t>📌 Zelené políčko = zákazník neplatiť nič mesačne. Červené = celkové splátky banke počas doby. Záporný rozdiel v celkovej pozícii = cena za nulové mesačné záväzky.</t>
        </is>
      </c>
      <c r="C29" s="156" t="n"/>
      <c r="D29" s="156" t="n"/>
      <c r="E29" s="156" t="n"/>
      <c r="F29" s="156" t="n"/>
      <c r="G29" s="157" t="n"/>
    </row>
    <row r="30" ht="34" customHeight="1" s="54">
      <c r="B30" s="134" t="inlineStr">
        <is>
          <t>Zákazník nemusí predávať byt. Môže si zobrať väčší hypotekárny úver (refinancovanie), vybrať nadbytočnú hotovosť a z nej vyplatiť Bonaship. Byt si zachová.</t>
        </is>
      </c>
    </row>
    <row r="31" ht="20" customHeight="1" s="54">
      <c r="B31" s="101" t="inlineStr">
        <is>
          <t>Budúca hodnota bytu</t>
        </is>
      </c>
      <c r="C31" s="102">
        <f>'Bonaship Model'!C52</f>
        <v/>
      </c>
    </row>
    <row r="32" ht="20" customHeight="1" s="54">
      <c r="B32" s="101" t="inlineStr">
        <is>
          <t>Max nová hypotéka (80 % LTV)</t>
        </is>
      </c>
      <c r="C32" s="102">
        <f>'Bonaship Model'!C53</f>
        <v/>
      </c>
    </row>
    <row r="33" ht="20" customHeight="1" s="54">
      <c r="B33" s="101" t="inlineStr">
        <is>
          <t>Zostatok starej hypotéky</t>
        </is>
      </c>
      <c r="C33" s="102">
        <f>'Bonaship Model'!C54</f>
        <v/>
      </c>
    </row>
    <row r="34" ht="20" customHeight="1" s="54">
      <c r="B34" s="101" t="inlineStr">
        <is>
          <t>Dostupná hotovosť (cashout)</t>
        </is>
      </c>
      <c r="C34" s="102">
        <f>'Bonaship Model'!C55</f>
        <v/>
      </c>
    </row>
    <row r="35" ht="20" customHeight="1" s="54">
      <c r="B35" s="101" t="inlineStr">
        <is>
          <t>Bonaship payout (zákazník zaplatí)</t>
        </is>
      </c>
      <c r="C35" s="102">
        <f>'Bonaship Model'!C56</f>
        <v/>
      </c>
    </row>
    <row r="36" ht="20" customHeight="1" s="54">
      <c r="B36" s="112" t="inlineStr">
        <is>
          <t>Zostatok pre zákazníka</t>
        </is>
      </c>
      <c r="C36" s="135">
        <f>'Bonaship Model'!C57</f>
        <v/>
      </c>
    </row>
    <row r="37" ht="20" customHeight="1" s="54">
      <c r="B37" s="112" t="inlineStr">
        <is>
          <t>✅ Refinancovanie bez predaja možné?</t>
        </is>
      </c>
      <c r="C37" s="136">
        <f>'Bonaship Model'!C58</f>
        <v/>
      </c>
    </row>
    <row r="38" ht="8" customHeight="1" s="54"/>
    <row r="39" ht="22" customHeight="1" s="54">
      <c r="B39" s="100" t="inlineStr">
        <is>
          <t>⑤ ĎALŠIE VÝHODY BONASHIP (NEFINANČNÉ)</t>
        </is>
      </c>
    </row>
    <row r="40" ht="22" customHeight="1" s="54">
      <c r="B40" s="111" t="inlineStr">
        <is>
          <t>💰 Okamžitá likvidita</t>
        </is>
      </c>
      <c r="C40" s="137" t="inlineStr">
        <is>
          <t>Zákazník dostane celú sumu ihneď na ruke, bez schvaľovacieho procesu banky</t>
        </is>
      </c>
    </row>
    <row r="41" ht="22" customHeight="1" s="54">
      <c r="B41" s="138" t="inlineStr">
        <is>
          <t>📅 Žiadne mesačné záväzky</t>
        </is>
      </c>
      <c r="C41" s="139" t="inlineStr">
        <is>
          <t>Nula splátok = žiadny finančný stres v náročných mesiacoch (choroba, strata práce)</t>
        </is>
      </c>
    </row>
    <row r="42" ht="22" customHeight="1" s="54">
      <c r="B42" s="111" t="inlineStr">
        <is>
          <t>📊 Nenarastajúci dlh</t>
        </is>
      </c>
      <c r="C42" s="137" t="inlineStr">
        <is>
          <t>Suma pre Bonaship závisí od trhu (cena bytu), nie od úrokového dlhu</t>
        </is>
      </c>
    </row>
    <row r="43" ht="22" customHeight="1" s="54">
      <c r="B43" s="138" t="inlineStr">
        <is>
          <t>🔓 Flexibilný exit</t>
        </is>
      </c>
      <c r="C43" s="139" t="inlineStr">
        <is>
          <t>Zákazník sám rozhoduje: predaj, refinancovanie, odkúpenie podielu — bez sankcií</t>
        </is>
      </c>
    </row>
    <row r="44" ht="22" customHeight="1" s="54">
      <c r="B44" s="111" t="inlineStr">
        <is>
          <t>🏦 Nezávislé od banky</t>
        </is>
      </c>
      <c r="C44" s="137" t="inlineStr">
        <is>
          <t>Neovplyvňuje úverovú históriu, DTI ukazovateľ ani možnosť vziať si hypotéku</t>
        </is>
      </c>
    </row>
    <row r="45" ht="22" customHeight="1" s="54">
      <c r="B45" s="138" t="inlineStr">
        <is>
          <t>🤝 Zdieľaný záujem</t>
        </is>
      </c>
      <c r="C45" s="139" t="inlineStr">
        <is>
          <t>Bonaship má záujem, aby nehnuteľnosť rástla na hodnote — rovnaký cieľ ako zákazník</t>
        </is>
      </c>
    </row>
  </sheetData>
  <mergeCells count="13">
    <mergeCell ref="B2:G2"/>
    <mergeCell ref="B19:G19"/>
    <mergeCell ref="C43:G43"/>
    <mergeCell ref="B5:G5"/>
    <mergeCell ref="C42:G42"/>
    <mergeCell ref="C44:G44"/>
    <mergeCell ref="C41:G41"/>
    <mergeCell ref="B13:G13"/>
    <mergeCell ref="C45:G45"/>
    <mergeCell ref="C40:G40"/>
    <mergeCell ref="B29:G29"/>
    <mergeCell ref="B39:G39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tabColor rgb="FF4A9FE7"/>
    <outlinePr summaryBelow="1" summaryRight="1"/>
    <pageSetUpPr fitToPage="0"/>
  </sheetPr>
  <dimension ref="B2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53" min="1" max="1"/>
    <col width="40" customWidth="1" style="53" min="2" max="2"/>
    <col width="25" customWidth="1" style="53" min="3" max="3"/>
    <col width="50" customWidth="1" style="53" min="4" max="4"/>
  </cols>
  <sheetData>
    <row r="2" ht="17.25" customHeight="1" s="54">
      <c r="B2" s="55" t="inlineStr">
        <is>
          <t>BONASHIP — Podmienky produktu</t>
        </is>
      </c>
    </row>
    <row r="3" ht="15" customHeight="1" s="54">
      <c r="B3" s="63" t="inlineStr">
        <is>
          <t>Tieto parametre sú prepojené s kalkulačkou na Sheet 1. Editujte tam.</t>
        </is>
      </c>
    </row>
    <row r="5" ht="15" customHeight="1" s="54">
      <c r="B5" s="96" t="inlineStr">
        <is>
          <t>Parameter</t>
        </is>
      </c>
      <c r="C5" s="96" t="inlineStr">
        <is>
          <t>Hodnota</t>
        </is>
      </c>
      <c r="D5" s="96" t="inlineStr">
        <is>
          <t>Poznámka</t>
        </is>
      </c>
    </row>
    <row r="6" ht="15" customHeight="1" s="54">
      <c r="B6" s="70" t="inlineStr">
        <is>
          <t>Podiel z predajnej ceny (1–3 roky)</t>
        </is>
      </c>
      <c r="C6" s="97">
        <f>'Bonaship Model'!C13</f>
        <v/>
      </c>
      <c r="D6" s="98" t="inlineStr">
        <is>
          <t>% z celkovej predajnej ceny pri exite do 3 rokov</t>
        </is>
      </c>
    </row>
    <row r="7" ht="15" customHeight="1" s="54">
      <c r="B7" s="70" t="inlineStr">
        <is>
          <t>Podiel z predajnej ceny (4–6 rokov)</t>
        </is>
      </c>
      <c r="C7" s="97">
        <f>'Bonaship Model'!C14</f>
        <v/>
      </c>
      <c r="D7" s="98" t="inlineStr">
        <is>
          <t>% z celkovej predajnej ceny pri exite 4–6 rokov</t>
        </is>
      </c>
    </row>
    <row r="8" ht="15" customHeight="1" s="54">
      <c r="B8" s="70" t="inlineStr">
        <is>
          <t>Podiel z predajnej ceny (7–10 rokov)</t>
        </is>
      </c>
      <c r="C8" s="97">
        <f>'Bonaship Model'!C15</f>
        <v/>
      </c>
      <c r="D8" s="98" t="inlineStr">
        <is>
          <t>% z celkovej predajnej ceny pri exite 7–10 rokov</t>
        </is>
      </c>
    </row>
    <row r="9" ht="15" customHeight="1" s="54">
      <c r="B9" s="70" t="inlineStr">
        <is>
          <t>— (zrušené)</t>
        </is>
      </c>
      <c r="C9" s="97" t="inlineStr">
        <is>
          <t>N/A</t>
        </is>
      </c>
      <c r="D9" s="98" t="inlineStr">
        <is>
          <t>Minimálny výnos sa neuplatňuje — podiel z celkovej hodnoty slúži ako prirodzený floor</t>
        </is>
      </c>
    </row>
    <row r="10" ht="15" customHeight="1" s="54">
      <c r="B10" s="70" t="inlineStr">
        <is>
          <t>Jednorazový poplatok</t>
        </is>
      </c>
      <c r="C10" s="97">
        <f>'Bonaship Model'!C17</f>
        <v/>
      </c>
      <c r="D10" s="98" t="inlineStr">
        <is>
          <t>% z investovanej sumy, odpočítané pri poskytnutí</t>
        </is>
      </c>
    </row>
    <row r="11" ht="15" customHeight="1" s="54">
      <c r="B11" s="70" t="inlineStr">
        <is>
          <t>Max. poplatok</t>
        </is>
      </c>
      <c r="C11" s="99">
        <f>'Bonaship Model'!C18</f>
        <v/>
      </c>
      <c r="D11" s="98" t="inlineStr">
        <is>
          <t>Strop na jednorazový poplatok</t>
        </is>
      </c>
    </row>
    <row r="12" ht="15" customHeight="1" s="54">
      <c r="B12" s="70" t="inlineStr">
        <is>
          <t>Záznam v úverovom registri</t>
        </is>
      </c>
      <c r="C12" s="70" t="inlineStr">
        <is>
          <t>NIE</t>
        </is>
      </c>
      <c r="D12" s="98" t="inlineStr">
        <is>
          <t>Spolufinancovanie nie je úver → bez záznamu</t>
        </is>
      </c>
    </row>
    <row r="13" ht="15" customHeight="1" s="54">
      <c r="B13" s="70" t="inlineStr">
        <is>
          <t>Mesačné splátky</t>
        </is>
      </c>
      <c r="C13" s="70" t="inlineStr">
        <is>
          <t>0 €</t>
        </is>
      </c>
      <c r="D13" s="98" t="inlineStr">
        <is>
          <t>Žiadne priebežné platby investorovi</t>
        </is>
      </c>
    </row>
    <row r="14" ht="15" customHeight="1" s="54">
      <c r="B14" s="70" t="inlineStr">
        <is>
          <t>Vlastníctvo nehnuteľnosti</t>
        </is>
      </c>
      <c r="C14" s="70" t="inlineStr">
        <is>
          <t>100% zákazník</t>
        </is>
      </c>
      <c r="D14" s="98" t="inlineStr">
        <is>
          <t>Zákazník je na LV, Bonaship (investor) má len zmluvné právo</t>
        </is>
      </c>
    </row>
    <row r="15" ht="15" customHeight="1" s="54">
      <c r="B15" s="70" t="inlineStr">
        <is>
          <t>Exit — predaj</t>
        </is>
      </c>
      <c r="C15" s="70" t="inlineStr">
        <is>
          <t>Áno</t>
        </is>
      </c>
      <c r="D15" s="98" t="inlineStr">
        <is>
          <t>Automatické vysporiadanie z výnosu predaja</t>
        </is>
      </c>
    </row>
    <row r="16" ht="15" customHeight="1" s="54">
      <c r="B16" s="70" t="inlineStr">
        <is>
          <t>Exit — refinancovanie</t>
        </is>
      </c>
      <c r="C16" s="70" t="inlineStr">
        <is>
          <t>Áno</t>
        </is>
      </c>
      <c r="D16" s="98" t="inlineStr">
        <is>
          <t>Navýšenie hypotéky u banky</t>
        </is>
      </c>
    </row>
    <row r="17" ht="15" customHeight="1" s="54">
      <c r="B17" s="70" t="inlineStr">
        <is>
          <t>Exit — vyplatenie z úspor</t>
        </is>
      </c>
      <c r="C17" s="70" t="inlineStr">
        <is>
          <t>Áno</t>
        </is>
      </c>
      <c r="D17" s="98" t="inlineStr">
        <is>
          <t>Bez pokuty za predčasný exit</t>
        </is>
      </c>
    </row>
    <row r="18" ht="15" customHeight="1" s="54">
      <c r="B18" s="70" t="inlineStr">
        <is>
          <t>Priebežné poplatky</t>
        </is>
      </c>
      <c r="C18" s="70" t="inlineStr">
        <is>
          <t>Odhad + právne + kataster</t>
        </is>
      </c>
      <c r="D18" s="98" t="inlineStr">
        <is>
          <t>Štandardné náklady, uvedené vopred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2026-03-20T09:42:33Z</dcterms:created>
  <dcterms:modified xmlns:dcterms="http://purl.org/dc/terms/" xmlns:xsi="http://www.w3.org/2001/XMLSchema-instance" xsi:type="dcterms:W3CDTF">2026-03-20T11:55:33Z</dcterms:modified>
  <cp:revision>0</cp:revision>
</cp:coreProperties>
</file>